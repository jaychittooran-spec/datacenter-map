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jaychittooran/Downloads/STACK_Policy_Automation_GitHub_Package/"/>
    </mc:Choice>
  </mc:AlternateContent>
  <xr:revisionPtr revIDLastSave="0" documentId="13_ncr:1_{BCC43DDC-748B-7A48-92EF-F34CA6323261}" xr6:coauthVersionLast="47" xr6:coauthVersionMax="47" xr10:uidLastSave="{00000000-0000-0000-0000-000000000000}"/>
  <bookViews>
    <workbookView xWindow="0" yWindow="660" windowWidth="19420" windowHeight="11500" activeTab="1" xr2:uid="{00000000-000D-0000-FFFF-FFFF00000000}"/>
  </bookViews>
  <sheets>
    <sheet name="Dashboard" sheetId="8" r:id="rId1"/>
    <sheet name="State Scores" sheetId="9" r:id="rId2"/>
    <sheet name="Validation Lists" sheetId="1" r:id="rId3"/>
    <sheet name="County Local" sheetId="3" r:id="rId4"/>
    <sheet name="Policy Events" sheetId="4" r:id="rId5"/>
    <sheet name="Sources" sheetId="5" r:id="rId6"/>
    <sheet name="Change Log" sheetId="6" r:id="rId7"/>
    <sheet name="Methodology" sheetId="10" r:id="rId8"/>
    <sheet name="HeatMap Evidence Oct 2026" sheetId="11" r:id="rId9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14" i="3"/>
  <c r="K13" i="3"/>
  <c r="L13" i="3" s="1"/>
  <c r="L12" i="3"/>
  <c r="K12" i="3"/>
  <c r="L11" i="3"/>
  <c r="K11" i="3"/>
  <c r="K10" i="3"/>
  <c r="L10" i="3" s="1"/>
  <c r="K9" i="3"/>
  <c r="L9" i="3" s="1"/>
  <c r="K8" i="3"/>
  <c r="L8" i="3" s="1"/>
  <c r="L7" i="3"/>
  <c r="K7" i="3"/>
  <c r="K6" i="3"/>
  <c r="L6" i="3" s="1"/>
  <c r="L5" i="3"/>
  <c r="K5" i="3"/>
  <c r="L4" i="3"/>
  <c r="K4" i="3"/>
  <c r="K3" i="3"/>
  <c r="L3" i="3" s="1"/>
  <c r="K2" i="3"/>
  <c r="L2" i="3" s="1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E6" i="8" s="1"/>
  <c r="G9" i="9"/>
  <c r="G8" i="9"/>
  <c r="G7" i="9"/>
  <c r="G6" i="9"/>
  <c r="G5" i="9"/>
  <c r="G4" i="9"/>
  <c r="G3" i="9"/>
  <c r="G2" i="9"/>
  <c r="E8" i="8" s="1"/>
  <c r="B8" i="8"/>
  <c r="B7" i="8"/>
  <c r="B5" i="8"/>
  <c r="B6" i="8" l="1"/>
  <c r="E7" i="8"/>
  <c r="B10" i="8"/>
  <c r="E5" i="8"/>
  <c r="E9" i="8" l="1"/>
  <c r="B11" i="8"/>
  <c r="B12" i="8" s="1"/>
</calcChain>
</file>

<file path=xl/sharedStrings.xml><?xml version="1.0" encoding="utf-8"?>
<sst xmlns="http://schemas.openxmlformats.org/spreadsheetml/2006/main" count="1281" uniqueCount="473">
  <si>
    <t>STACK POLICY INTELLIGENCE — MASTER DATA</t>
  </si>
  <si>
    <t>Metric</t>
  </si>
  <si>
    <t>Value</t>
  </si>
  <si>
    <t>Score Band</t>
  </si>
  <si>
    <t>Count</t>
  </si>
  <si>
    <t>States Tracked</t>
  </si>
  <si>
    <t>Favorable</t>
  </si>
  <si>
    <t>Favorable Today</t>
  </si>
  <si>
    <t>Moderate</t>
  </si>
  <si>
    <t>High Forward Risk</t>
  </si>
  <si>
    <t>Challenging</t>
  </si>
  <si>
    <t>High Confidence</t>
  </si>
  <si>
    <t>Restrictive</t>
  </si>
  <si>
    <t>Total</t>
  </si>
  <si>
    <t>Publication Guardrail</t>
  </si>
  <si>
    <t>Rule</t>
  </si>
  <si>
    <t>Current Score</t>
  </si>
  <si>
    <t>Only operative/current conditions; future proposals belong in Trend / Forward Risk.</t>
  </si>
  <si>
    <t>Local</t>
  </si>
  <si>
    <t>HeatMap raw index is stored separately from analyst Community Score until HeatMap confirms scale.</t>
  </si>
  <si>
    <t>Change Log</t>
  </si>
  <si>
    <t>Every published score change should record old/new values, reason, source and event ID.</t>
  </si>
  <si>
    <t>Trend</t>
  </si>
  <si>
    <t>Forward Risk</t>
  </si>
  <si>
    <t>Confidence</t>
  </si>
  <si>
    <t>Research Status</t>
  </si>
  <si>
    <t>STACK Posture</t>
  </si>
  <si>
    <t>Direction</t>
  </si>
  <si>
    <t>Event Status</t>
  </si>
  <si>
    <t>County Tier</t>
  </si>
  <si>
    <t>↑↑</t>
  </si>
  <si>
    <t>LOW</t>
  </si>
  <si>
    <t>High</t>
  </si>
  <si>
    <t>Calibrated</t>
  </si>
  <si>
    <t>A — PRIORITIZE</t>
  </si>
  <si>
    <t>Positive</t>
  </si>
  <si>
    <t>Enacted</t>
  </si>
  <si>
    <t>Tier 1 — Established</t>
  </si>
  <si>
    <t>↑</t>
  </si>
  <si>
    <t>MODERATE</t>
  </si>
  <si>
    <t>Medium</t>
  </si>
  <si>
    <t>Researched</t>
  </si>
  <si>
    <t>A/B — SELECTIVE</t>
  </si>
  <si>
    <t>Negative</t>
  </si>
  <si>
    <t>Active</t>
  </si>
  <si>
    <t>Tier 2 — Plausible</t>
  </si>
  <si>
    <t>→</t>
  </si>
  <si>
    <t>ELEVATED</t>
  </si>
  <si>
    <t>Low</t>
  </si>
  <si>
    <t>Provisional</t>
  </si>
  <si>
    <t>B — SELECTIVE</t>
  </si>
  <si>
    <t>Mixed</t>
  </si>
  <si>
    <t>Proposed</t>
  </si>
  <si>
    <t>Tier 3 — Monitor</t>
  </si>
  <si>
    <t>↓</t>
  </si>
  <si>
    <t>HIGH</t>
  </si>
  <si>
    <t>C — LIMIT</t>
  </si>
  <si>
    <t>Neutral</t>
  </si>
  <si>
    <t>Failed</t>
  </si>
  <si>
    <t>↓↓</t>
  </si>
  <si>
    <t>D — PAUSE</t>
  </si>
  <si>
    <t>Expected</t>
  </si>
  <si>
    <t>Monitoring</t>
  </si>
  <si>
    <t>State</t>
  </si>
  <si>
    <t>County</t>
  </si>
  <si>
    <t>County FIPS</t>
  </si>
  <si>
    <t>Use in State Rollup?</t>
  </si>
  <si>
    <t>Market Relevance Weight</t>
  </si>
  <si>
    <t>HeatMap Opposition Index</t>
  </si>
  <si>
    <t>Community Score (1-5)</t>
  </si>
  <si>
    <t>Local Policy &amp; Entitlements (1-5)</t>
  </si>
  <si>
    <t>Development Precedent (1-5)</t>
  </si>
  <si>
    <t>Raw County Local Score</t>
  </si>
  <si>
    <t>Rounded County Local Score</t>
  </si>
  <si>
    <t>Contested DC Projects</t>
  </si>
  <si>
    <t>Operating DC MW</t>
  </si>
  <si>
    <t>Planned / Construction DC MW</t>
  </si>
  <si>
    <t>Moratoria / Ordinance Signal</t>
  </si>
  <si>
    <t>HeatMap Date</t>
  </si>
  <si>
    <t>Analyst Rationale</t>
  </si>
  <si>
    <t>Source ID</t>
  </si>
  <si>
    <t>Source Detail</t>
  </si>
  <si>
    <t>Notes</t>
  </si>
  <si>
    <t>California</t>
  </si>
  <si>
    <t>Los Angeles County</t>
  </si>
  <si>
    <t>Yes</t>
  </si>
  <si>
    <t>HeatMap detected restrictive zoning / moratoriums in the area</t>
  </si>
  <si>
    <t>Moderate modeled opposition (Index 41) is offset by substantial operating/planned data-center precedent, while documented restrictive zoning/moratorium signals reduce the policy component.</t>
  </si>
  <si>
    <t>SRC-HEATMAP-LA</t>
  </si>
  <si>
    <t>HeatMap Risk Report – Los Angeles County, California (9/12/2026)</t>
  </si>
  <si>
    <t>Virginia</t>
  </si>
  <si>
    <t>Loudoun County</t>
  </si>
  <si>
    <t>Awaiting HeatMap county report/export</t>
  </si>
  <si>
    <t>Arizona</t>
  </si>
  <si>
    <t>Maricopa County</t>
  </si>
  <si>
    <t>Texas</t>
  </si>
  <si>
    <t>Dallas County</t>
  </si>
  <si>
    <t>Tarrant County</t>
  </si>
  <si>
    <t>Georgia</t>
  </si>
  <si>
    <t>Douglas County</t>
  </si>
  <si>
    <t>Fulton County</t>
  </si>
  <si>
    <t>Ohio</t>
  </si>
  <si>
    <t>Franklin County</t>
  </si>
  <si>
    <t>Illinois</t>
  </si>
  <si>
    <t>Cook County</t>
  </si>
  <si>
    <t>Oregon</t>
  </si>
  <si>
    <t>Washington County</t>
  </si>
  <si>
    <t>Santa Clara County</t>
  </si>
  <si>
    <t>Nevada</t>
  </si>
  <si>
    <t>Clark County</t>
  </si>
  <si>
    <t>New Jersey</t>
  </si>
  <si>
    <t>Middlesex County</t>
  </si>
  <si>
    <t>Event ID</t>
  </si>
  <si>
    <t>Event Date</t>
  </si>
  <si>
    <t>Target Window</t>
  </si>
  <si>
    <t>Abbr</t>
  </si>
  <si>
    <t>Level</t>
  </si>
  <si>
    <t>Locality</t>
  </si>
  <si>
    <t>Event Type</t>
  </si>
  <si>
    <t>Category</t>
  </si>
  <si>
    <t>Status</t>
  </si>
  <si>
    <t>Severity</t>
  </si>
  <si>
    <t>Headline</t>
  </si>
  <si>
    <t>Detail</t>
  </si>
  <si>
    <t>Score Dimension</t>
  </si>
  <si>
    <t>Score Impact</t>
  </si>
  <si>
    <t>Trend Impact</t>
  </si>
  <si>
    <t>Forward Risk Impact</t>
  </si>
  <si>
    <t>Source Locator</t>
  </si>
  <si>
    <t>Source URL</t>
  </si>
  <si>
    <t>Last Verified</t>
  </si>
  <si>
    <t>EVT-0001</t>
  </si>
  <si>
    <t>313</t>
  </si>
  <si>
    <t>NJ</t>
  </si>
  <si>
    <t>Current Change</t>
  </si>
  <si>
    <t>Incentives &amp; Tax</t>
  </si>
  <si>
    <t>Governor signed the End Data Center Tax Credits Act</t>
  </si>
  <si>
    <t>Eliminates the remaining $250 million in uncommitted Next New Jersey AI/data-center tax credits and redirects the funds.</t>
  </si>
  <si>
    <t>SRC-MULTISTATE-AUG26</t>
  </si>
  <si>
    <t>Multistate report, Aug. 2026</t>
  </si>
  <si>
    <t>EVT-0002</t>
  </si>
  <si>
    <t>Delaware</t>
  </si>
  <si>
    <t>DE</t>
  </si>
  <si>
    <t>Power &amp; Energy</t>
  </si>
  <si>
    <t>HB 233 signed; large-load tariff now required</t>
  </si>
  <si>
    <t>Requires large users to bear dedicated infrastructure costs through a large-load tariff and allows the PSC to deny connections if ratepayer protections are insufficient.</t>
  </si>
  <si>
    <t>EVT-0003</t>
  </si>
  <si>
    <t>Pennsylvania</t>
  </si>
  <si>
    <t>PA</t>
  </si>
  <si>
    <t>Political &amp; Regulatory</t>
  </si>
  <si>
    <t>Executive Order 2026-05 makes GRID requirements binding</t>
  </si>
  <si>
    <t>Conditions permitting and tax incentives on GRID compliance, removes AI data centers from permit fast track, and requires local approval before state permits.</t>
  </si>
  <si>
    <t>EVT-0004</t>
  </si>
  <si>
    <t>Kentucky</t>
  </si>
  <si>
    <t>KY</t>
  </si>
  <si>
    <t>Executive Order 2026-494 raises permitting bar</t>
  </si>
  <si>
    <t>Directs agencies to deny permits that harm ratepayers or environmental resources and requires developers to submit energy plans.</t>
  </si>
  <si>
    <t>EVT-0005</t>
  </si>
  <si>
    <t>TX</t>
  </si>
  <si>
    <t>ERCOT interconnection audit halts advancing connections</t>
  </si>
  <si>
    <t>Governor directed PUCT and ERCOT to verify all data centers advancing through the interconnection process; noncompliant projects can be denied connection.</t>
  </si>
  <si>
    <t>EVT-0006</t>
  </si>
  <si>
    <t>VA</t>
  </si>
  <si>
    <t>SCC assigns dedicated transmission costs to large-load data centers</t>
  </si>
  <si>
    <t>Large-load customers must pay for transmission facilities built solely to serve them, establishing a stronger cost-causation precedent.</t>
  </si>
  <si>
    <t>EVT-0007</t>
  </si>
  <si>
    <t>Nebraska</t>
  </si>
  <si>
    <t>NE</t>
  </si>
  <si>
    <t>Governor ends data-center access to ImagiNE Nebraska incentives</t>
  </si>
  <si>
    <t>Executive order removes incentive eligibility and creates an interagency review and data-center task force.</t>
  </si>
  <si>
    <t>EVT-0008</t>
  </si>
  <si>
    <t>New York</t>
  </si>
  <si>
    <t>NY</t>
  </si>
  <si>
    <t>Executive Order 62 creates one-year hyperscale permitting moratorium</t>
  </si>
  <si>
    <t>Pauses state environmental permits for hyperscale facilities of 50 MW or more while agencies develop a new regulatory framework.</t>
  </si>
  <si>
    <t>EVT-0009</t>
  </si>
  <si>
    <t>Forward Catalyst</t>
  </si>
  <si>
    <t>Joint Subcommittee tax-policy recommendations due</t>
  </si>
  <si>
    <t>Recommendations could reshape the data-center sales/use tax framework after the 2026 budget compromise.</t>
  </si>
  <si>
    <t>EVT-0010</t>
  </si>
  <si>
    <t>New Mexico</t>
  </si>
  <si>
    <t>NM</t>
  </si>
  <si>
    <t>Statewide moratorium proposal expected in 2027 session</t>
  </si>
  <si>
    <t>Sponsors have previewed a two-to-five-year moratorium framework and companion legislation targeting the microgrid pathway.</t>
  </si>
  <si>
    <t>EVT-0011</t>
  </si>
  <si>
    <t>2027-session</t>
  </si>
  <si>
    <t>Incentive repeal and new operating guardrails expected</t>
  </si>
  <si>
    <t>Governor has pledged to pursue sales-tax exemption repeal plus water-efficient cooling, added generation and siting requirements.</t>
  </si>
  <si>
    <t>EVT-0012</t>
  </si>
  <si>
    <t>Wyoming</t>
  </si>
  <si>
    <t>WY</t>
  </si>
  <si>
    <t>Policy recommendations from Governor-directed review</t>
  </si>
  <si>
    <t>The 2026 executive review is expected to inform legislation on water, power and responsible data-center development.</t>
  </si>
  <si>
    <t>EVT-0013</t>
  </si>
  <si>
    <t>OR</t>
  </si>
  <si>
    <t>Moratorium proposal and incentive framework return to legislature</t>
  </si>
  <si>
    <t>Legislators announced a three-year moratorium proposal while enterprise-zone eligibility remains paused pending the 2027 session.</t>
  </si>
  <si>
    <t>Source Name</t>
  </si>
  <si>
    <t>Source Type</t>
  </si>
  <si>
    <t>Publisher / Organization</t>
  </si>
  <si>
    <t>Source Date</t>
  </si>
  <si>
    <t>Scope</t>
  </si>
  <si>
    <t>File / URL</t>
  </si>
  <si>
    <t>Citation / Locator</t>
  </si>
  <si>
    <t>States / Counties Covered</t>
  </si>
  <si>
    <t>Change ID</t>
  </si>
  <si>
    <t>Date</t>
  </si>
  <si>
    <t>State / County</t>
  </si>
  <si>
    <t>Record Type</t>
  </si>
  <si>
    <t>Dimension / Field</t>
  </si>
  <si>
    <t>Old Value</t>
  </si>
  <si>
    <t>New Value</t>
  </si>
  <si>
    <t>Reason</t>
  </si>
  <si>
    <t>Analyst</t>
  </si>
  <si>
    <t>Published?</t>
  </si>
  <si>
    <t>CHG-0001</t>
  </si>
  <si>
    <t>Alabama</t>
  </si>
  <si>
    <t>Overall Score</t>
  </si>
  <si>
    <t>Initial migration into STACK Policy Master v1</t>
  </si>
  <si>
    <t>Migrated from v0.6.1 production JSON</t>
  </si>
  <si>
    <t>CHG-0002</t>
  </si>
  <si>
    <t>Alaska</t>
  </si>
  <si>
    <t>CHG-0003</t>
  </si>
  <si>
    <t>CHG-0004</t>
  </si>
  <si>
    <t>Arkansas</t>
  </si>
  <si>
    <t>CHG-0005</t>
  </si>
  <si>
    <t>CHG-0006</t>
  </si>
  <si>
    <t>Colorado</t>
  </si>
  <si>
    <t>CHG-0007</t>
  </si>
  <si>
    <t>Connecticut</t>
  </si>
  <si>
    <t>CHG-0008</t>
  </si>
  <si>
    <t>CHG-0009</t>
  </si>
  <si>
    <t>Florida</t>
  </si>
  <si>
    <t>CHG-0010</t>
  </si>
  <si>
    <t>CHG-0011</t>
  </si>
  <si>
    <t>Hawaii</t>
  </si>
  <si>
    <t>CHG-0012</t>
  </si>
  <si>
    <t>Idaho</t>
  </si>
  <si>
    <t>CHG-0013</t>
  </si>
  <si>
    <t>CHG-0014</t>
  </si>
  <si>
    <t>Indiana</t>
  </si>
  <si>
    <t>CHG-0015</t>
  </si>
  <si>
    <t>Iowa</t>
  </si>
  <si>
    <t>CHG-0016</t>
  </si>
  <si>
    <t>Kansas</t>
  </si>
  <si>
    <t>CHG-0017</t>
  </si>
  <si>
    <t>CHG-0018</t>
  </si>
  <si>
    <t>Louisiana</t>
  </si>
  <si>
    <t>CHG-0019</t>
  </si>
  <si>
    <t>Maine</t>
  </si>
  <si>
    <t>CHG-0020</t>
  </si>
  <si>
    <t>Maryland</t>
  </si>
  <si>
    <t>CHG-0021</t>
  </si>
  <si>
    <t>Massachusetts</t>
  </si>
  <si>
    <t>CHG-0022</t>
  </si>
  <si>
    <t>Michigan</t>
  </si>
  <si>
    <t>CHG-0023</t>
  </si>
  <si>
    <t>Minnesota</t>
  </si>
  <si>
    <t>CHG-0024</t>
  </si>
  <si>
    <t>Mississippi</t>
  </si>
  <si>
    <t>CHG-0025</t>
  </si>
  <si>
    <t>Missouri</t>
  </si>
  <si>
    <t>CHG-0026</t>
  </si>
  <si>
    <t>Montana</t>
  </si>
  <si>
    <t>CHG-0027</t>
  </si>
  <si>
    <t>CHG-0028</t>
  </si>
  <si>
    <t>CHG-0029</t>
  </si>
  <si>
    <t>New Hampshire</t>
  </si>
  <si>
    <t>CHG-0030</t>
  </si>
  <si>
    <t>CHG-0031</t>
  </si>
  <si>
    <t>CHG-0032</t>
  </si>
  <si>
    <t>CHG-0033</t>
  </si>
  <si>
    <t>North Carolina</t>
  </si>
  <si>
    <t>CHG-0034</t>
  </si>
  <si>
    <t>North Dakota</t>
  </si>
  <si>
    <t>CHG-0035</t>
  </si>
  <si>
    <t>CHG-0036</t>
  </si>
  <si>
    <t>Oklahoma</t>
  </si>
  <si>
    <t>CHG-0037</t>
  </si>
  <si>
    <t>CHG-0038</t>
  </si>
  <si>
    <t>CHG-0039</t>
  </si>
  <si>
    <t>Rhode Island</t>
  </si>
  <si>
    <t>CHG-0040</t>
  </si>
  <si>
    <t>South Carolina</t>
  </si>
  <si>
    <t>CHG-0041</t>
  </si>
  <si>
    <t>South Dakota</t>
  </si>
  <si>
    <t>CHG-0042</t>
  </si>
  <si>
    <t>Tennessee</t>
  </si>
  <si>
    <t>CHG-0043</t>
  </si>
  <si>
    <t>CHG-0044</t>
  </si>
  <si>
    <t>Utah</t>
  </si>
  <si>
    <t>CHG-0045</t>
  </si>
  <si>
    <t>Vermont</t>
  </si>
  <si>
    <t>CHG-0046</t>
  </si>
  <si>
    <t>CHG-0047</t>
  </si>
  <si>
    <t>Washington</t>
  </si>
  <si>
    <t>CHG-0048</t>
  </si>
  <si>
    <t>West Virginia</t>
  </si>
  <si>
    <t>CHG-0049</t>
  </si>
  <si>
    <t>Wisconsin</t>
  </si>
  <si>
    <t>CHG-0050</t>
  </si>
  <si>
    <t>Average Policy Score</t>
  </si>
  <si>
    <t>Scores in Dashboard</t>
  </si>
  <si>
    <t>Reconciliation</t>
  </si>
  <si>
    <t>Power &amp; Energy (35%)</t>
  </si>
  <si>
    <t>Water (15%)</t>
  </si>
  <si>
    <t>Policy &amp; Regulatory Environment (25%)</t>
  </si>
  <si>
    <t>Community Sentiment (25%)</t>
  </si>
  <si>
    <t>Forward Policy Risk</t>
  </si>
  <si>
    <t>Policy Thesis</t>
  </si>
  <si>
    <t>AL</t>
  </si>
  <si>
    <t>Low-regulation state with favorable incentives, but local moratoria and utility requirements are rising.</t>
  </si>
  <si>
    <t>AK</t>
  </si>
  <si>
    <t>Supportive posture and no statewide SUT, but fragmented grid and infrastructure constraints dominate.</t>
  </si>
  <si>
    <t>AZ</t>
  </si>
  <si>
    <t>Three-year incentive moratorium, new large-load authority, and growing local restrictions materially weaken the market.</t>
  </si>
  <si>
    <t>AR</t>
  </si>
  <si>
    <t>Favorable incentive construct and state support; local pushback is emerging and source coverage is limited.</t>
  </si>
  <si>
    <t>CA</t>
  </si>
  <si>
    <t>No statewide SUT incentive, restrictive environmental policy, and accelerating local bans/moratoria.</t>
  </si>
  <si>
    <t>CO</t>
  </si>
  <si>
    <t>No data-center SUT incentive and growing local zoning/moratorium activity; 2026 incentive legislation failed.</t>
  </si>
  <si>
    <t>CT</t>
  </si>
  <si>
    <t>Current environment is mixed; attempted closure of the incentive program signals weakening political support.</t>
  </si>
  <si>
    <t>New large-load tariff law shifts infrastructure costs and long-term obligations to large users.</t>
  </si>
  <si>
    <t>FL</t>
  </si>
  <si>
    <t>State preserves local authority while local moratoria spread across major jurisdictions.</t>
  </si>
  <si>
    <t>GA</t>
  </si>
  <si>
    <t>Strong tax incentive is offset by adverse power terms and exceptionally broad local opposition.</t>
  </si>
  <si>
    <t>HI</t>
  </si>
  <si>
    <t>Policy scrutiny is limited today, but isolated grids create a structurally difficult large-load environment.</t>
  </si>
  <si>
    <t>ID</t>
  </si>
  <si>
    <t>Full SUT exemption and workable power backdrop remain attractive, while water and legislative scrutiny are increasing.</t>
  </si>
  <si>
    <t>IL</t>
  </si>
  <si>
    <t>State incentive processing is paused and the governor has outlined a broad restrictive framework; local action is rising.</t>
  </si>
  <si>
    <t>IN</t>
  </si>
  <si>
    <t>B/C — SELECTIVE</t>
  </si>
  <si>
    <t>Long-duration incentives remain attractive, but restrictive power terms and widespread local moratoria create execution risk.</t>
  </si>
  <si>
    <t>IA</t>
  </si>
  <si>
    <t>State incentive framework remains, but local moratoria have proliferated across more than a dozen counties.</t>
  </si>
  <si>
    <t>KS</t>
  </si>
  <si>
    <t>Excellent incentive and supportive state posture are offset by strong local opposition and moratoria.</t>
  </si>
  <si>
    <t>Governor-directed ratepayer/environment protections and a growing local moratorium wave create substantial forward risk.</t>
  </si>
  <si>
    <t>LA</t>
  </si>
  <si>
    <t>Strong incentives, favorable state posture, and generally permissive local conditions remain a leading policy combination.</t>
  </si>
  <si>
    <t>ME</t>
  </si>
  <si>
    <t>State removed data centers from incentive programs and local moratoria expanded after the statewide moratorium veto.</t>
  </si>
  <si>
    <t>MD</t>
  </si>
  <si>
    <t>Statewide moratorium failed, but incentive restrictions and significant county-level pauses create a challenging local environment.</t>
  </si>
  <si>
    <t>MA</t>
  </si>
  <si>
    <t>State paused applications while developing stronger ratepayer, clean-energy, environmental, and community protections.</t>
  </si>
  <si>
    <t>MI</t>
  </si>
  <si>
    <t>Incentives remain protected by the governor, but repeal and moratorium packages show meaningful legislative pressure.</t>
  </si>
  <si>
    <t>MN</t>
  </si>
  <si>
    <t>Electricity SUT exemption was eliminated and multiple local moratoria are active despite statewide moratorium bills failing.</t>
  </si>
  <si>
    <t>MS</t>
  </si>
  <si>
    <t>Limited adverse activity in the provided materials; current tax and local environment appear comparatively stable.</t>
  </si>
  <si>
    <t>MO</t>
  </si>
  <si>
    <t>Innovation-zone incentives now exclude data centers and restrictive rural siting proposals indicate rising scrutiny.</t>
  </si>
  <si>
    <t>MT</t>
  </si>
  <si>
    <t>No statewide SUT and supportive BTM posture remain attractive, with emerging local opposition and tariff scrutiny.</t>
  </si>
  <si>
    <t>Governor ended access to ImagiNE Nebraska incentives and launched a resource-impact task force.</t>
  </si>
  <si>
    <t>NV</t>
  </si>
  <si>
    <t>Meaningful abatements remain, but Reno moratorium and election-driven scrutiny increase uncertainty.</t>
  </si>
  <si>
    <t>NH</t>
  </si>
  <si>
    <t>Statewide moratorium failed and no major current restriction is identified; incentive effort also failed.</t>
  </si>
  <si>
    <t>Tax credits were eliminated, a strict large-load framework was enacted, and local bans/restrictions are widespread.</t>
  </si>
  <si>
    <t>Current microgrid flexibility is strong, but a statewide moratorium and microgrid restrictions are credible 2027 risks.</t>
  </si>
  <si>
    <t>Statewide environmental-permit moratorium is in force for hyperscale projects and further tax/regulatory restrictions are expected.</t>
  </si>
  <si>
    <t>NC</t>
  </si>
  <si>
    <t>C/D — LIMIT</t>
  </si>
  <si>
    <t>Electricity SUT exemption was repealed and more than 30 local jurisdictions have enacted moratoria or bans.</t>
  </si>
  <si>
    <t>ND</t>
  </si>
  <si>
    <t>Favorable incentives, supportive leadership and BTM using local gas remain attractive; interim study is a watch item.</t>
  </si>
  <si>
    <t>OH</t>
  </si>
  <si>
    <t>Permissive BTM is offset by incentive uncertainty, restrictive tariff treatment and the nation’s densest local restriction activity.</t>
  </si>
  <si>
    <t>OK</t>
  </si>
  <si>
    <t>Longstanding incentives remain, but new ratepayer-protection and groundwater/cooling rules materially tighten development conditions.</t>
  </si>
  <si>
    <t>Highly adverse power tariff, paused property-tax incentives, difficult entitlements and restrictive trajectory.</t>
  </si>
  <si>
    <t>Binding GRID requirements now condition permitting and incentives and materially increase infrastructure obligations.</t>
  </si>
  <si>
    <t>RI</t>
  </si>
  <si>
    <t>Proposed 30-year incentive did not advance; one local outright ban is identified, leaving a mixed but not broadly restrictive picture.</t>
  </si>
  <si>
    <t>SC</t>
  </si>
  <si>
    <t>Multiple restrictive proposals failed; current statewide environment remains relatively open with some local moratorium activity.</t>
  </si>
  <si>
    <t>SD</t>
  </si>
  <si>
    <t>2026 law codified full-cost and water protections while preserving local control; incentive and moratorium bills failed.</t>
  </si>
  <si>
    <t>TN</t>
  </si>
  <si>
    <t>State-level environment is less defined, but local moratoria and restrictive zoning have spread across major jurisdictions.</t>
  </si>
  <si>
    <t>Strong current tax and local-development advantages remain, but state intervention has sharply increased power and forward policy risk.</t>
  </si>
  <si>
    <t>UT</t>
  </si>
  <si>
    <t>BTM remains favorable, but incentive restrictions, water reporting and the governor’s higher-bar framework point to tighter 2027 policy.</t>
  </si>
  <si>
    <t>VT</t>
  </si>
  <si>
    <t>Moratorium and gross-receipts financing proposals failed or were vetoed, leaving current policy less restrictive than proposals suggest.</t>
  </si>
  <si>
    <t>Mature market precedent is offset by higher power cost allocation, loss of by-right pathways and new tax/environmental conditions.</t>
  </si>
  <si>
    <t>WA</t>
  </si>
  <si>
    <t>Clean-energy constraints, narrowed tax benefits and multiple local pauses create a difficult and worsening environment.</t>
  </si>
  <si>
    <t>WV</t>
  </si>
  <si>
    <t>State leadership prioritizes data-center attraction with supportive entitlement and BTM posture; several additional incentives were proposed.</t>
  </si>
  <si>
    <t>WI</t>
  </si>
  <si>
    <t>Excellent incentives remain, but a punitive large-load tariff and rapid growth in local moratoria materially increase execution risk.</t>
  </si>
  <si>
    <t>Full SUT exemption, strong BTM flexibility and receptive development conditions remain attractive; 2027 recommendations create forward risk.</t>
  </si>
  <si>
    <t>STACK POLICY SCORE v2.0</t>
  </si>
  <si>
    <t>Balanced Development Model</t>
  </si>
  <si>
    <t>Dimension</t>
  </si>
  <si>
    <t>Weight</t>
  </si>
  <si>
    <t>Water</t>
  </si>
  <si>
    <t>Policy &amp; Regulatory Environment</t>
  </si>
  <si>
    <t>Community Sentiment</t>
  </si>
  <si>
    <t>Scoring</t>
  </si>
  <si>
    <t>1.0–5.0, half-point increments</t>
  </si>
  <si>
    <t>Formula</t>
  </si>
  <si>
    <t>20 × (0.35×Power + 0.15×Water + 0.25×Policy + 0.25×Community)</t>
  </si>
  <si>
    <t>Calibration status</t>
  </si>
  <si>
    <t>Provisional crosswalk; NOT an independently evidence-reviewed rescoring</t>
  </si>
  <si>
    <t>Power</t>
  </si>
  <si>
    <t>Existing Power &amp; Energy score used as starting proxy. Speed-to-power timelines need utility-level validation.</t>
  </si>
  <si>
    <t>Existing Water &amp; Environmental score used as starting proxy; environmental issues need reassignment.</t>
  </si>
  <si>
    <t>Policy</t>
  </si>
  <si>
    <t>Starting proxy = average of prior Incentives &amp; Tax and Political &amp; Regulatory. Local zoning/moratoria should be moved here during review.</t>
  </si>
  <si>
    <t>Community</t>
  </si>
  <si>
    <t>Starting proxy = prior Local score. This includes entitlement constraints, so not yet a pure sentiment measure. HeatMap index not converted automatically.</t>
  </si>
  <si>
    <t>Critical Constraint</t>
  </si>
  <si>
    <t>Separate flag; do not let weighted average hide binding development blocks.</t>
  </si>
  <si>
    <t>Historical baseline</t>
  </si>
  <si>
    <t>Original State Scores sheet preserved unchanged.</t>
  </si>
  <si>
    <t>Review priority</t>
  </si>
  <si>
    <t>Validate state by state before publishing scores as finalized.</t>
  </si>
  <si>
    <t>STACK COMMUNITY SENTIMENT | HEATMAP EVIDENCE LOG</t>
  </si>
  <si>
    <t>Captured 2026-10-20</t>
  </si>
  <si>
    <t>Source</t>
  </si>
  <si>
    <t>HeatMap Pro screenshots provided in conversation; not a structured data export</t>
  </si>
  <si>
    <t>National county-level opposition map; data-center-only contested projects filtered by cancelled / pending / approved; national data-center dashboard</t>
  </si>
  <si>
    <t>Interpretation</t>
  </si>
  <si>
    <t>Visual evidence only. No state counts, cancellation rates, or numeric HeatMap county indices extracted.</t>
  </si>
  <si>
    <t>Scoring treatment</t>
  </si>
  <si>
    <t>Maintain existing provisional Community scores until county data / project denominators or independent case validation.</t>
  </si>
  <si>
    <t>Dashboard context</t>
  </si>
  <si>
    <t>Data-center filtered dashboard shows rising contested-project activity and cancellations; charts do not establish causal cancellation reasons or state-level rates.</t>
  </si>
  <si>
    <t>State / market</t>
  </si>
  <si>
    <t>Visible evidence / observation</t>
  </si>
  <si>
    <t>Scoring implication</t>
  </si>
  <si>
    <t>Virginia / DC corridor</t>
  </si>
  <si>
    <t>Dense contested activity visible across outcome views; active development and contested approvals coexist.</t>
  </si>
  <si>
    <t>Mixed outcomes</t>
  </si>
  <si>
    <t>Review Community score; do not infer rejection rate.</t>
  </si>
  <si>
    <t>Low — visual</t>
  </si>
  <si>
    <t>Maryland / Pennsylvania</t>
  </si>
  <si>
    <t>Contested project activity across Mid-Atlantic; policy report independently lists local moratoria.</t>
  </si>
  <si>
    <t>Check county-specific project histories before scoring.</t>
  </si>
  <si>
    <t>Ohio / Indiana / Illinois / Michigan</t>
  </si>
  <si>
    <t>Multiple contested projects, including cancelled, pending and approved, across Midwest.</t>
  </si>
  <si>
    <t>Prioritize targeted verification in core markets.</t>
  </si>
  <si>
    <t>Georgia / Carolinas</t>
  </si>
  <si>
    <t>Clusters of contested data-center projects with varied outcomes.</t>
  </si>
  <si>
    <t>Review development corridors and local action separately.</t>
  </si>
  <si>
    <t>Contested projects across DFW and central Texas; outcomes vary.</t>
  </si>
  <si>
    <t>Avoid statewide generalization; prioritize key markets.</t>
  </si>
  <si>
    <t>Arizona / California</t>
  </si>
  <si>
    <t>Scattered contested projects; opposition-risk map has notable geographic variation.</t>
  </si>
  <si>
    <t>County-based review required.</t>
  </si>
  <si>
    <t>Pacific Northwest</t>
  </si>
  <si>
    <t>Contested activity concentrated in selected corridors.</t>
  </si>
  <si>
    <t>Do not equate sparse markers with supportive sentiment.</t>
  </si>
  <si>
    <t>Mountain West / Plains</t>
  </si>
  <si>
    <t>Generally fewer visible contested project markers in several states.</t>
  </si>
  <si>
    <t>Limited visible coverage</t>
  </si>
  <si>
    <t>Low activity is not evidence of acceptance.</t>
  </si>
  <si>
    <t>Methodology</t>
  </si>
  <si>
    <t>Opposition index 50%; contested project activity/outcomes 35%; demonstrated acceptance 15% — proposed internal components, not calculated from these screenshots.</t>
  </si>
  <si>
    <t>Critical limitations</t>
  </si>
  <si>
    <t>Data Center Risk map is labeled Less/More Opposition, but underlying formula unknown. National map screenshots cannot support precise 50-state values.</t>
  </si>
  <si>
    <t>Next validation</t>
  </si>
  <si>
    <t>Seek HeatMap county export or project-level records; capture project totals and status outcomes by state; validate cancellation causes; weight relevant development markets.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</si>
</sst>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7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0F2742"/>
      <name val="Carlito"/>
    </font>
    <font>
      <sz val="11"/>
      <color rgb="FFFFFFFF"/>
      <name val="Carlito"/>
    </font>
    <font>
      <b/>
      <sz val="11"/>
      <color rgb="FF17365D"/>
      <name val="Carlito"/>
    </font>
    <font>
      <b/>
      <sz val="11"/>
      <color rgb="FF263445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63A66"/>
      </patternFill>
    </fill>
    <fill>
      <patternFill patternType="solid">
        <fgColor rgb="FFE6ECF2"/>
      </patternFill>
    </fill>
    <fill>
      <patternFill patternType="solid">
        <fgColor rgb="FF17385E"/>
      </patternFill>
    </fill>
    <fill>
      <patternFill patternType="solid">
        <fgColor rgb="FF17365D"/>
      </patternFill>
    </fill>
    <fill>
      <patternFill patternType="solid">
        <fgColor rgb="FF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0" fontId="4" fillId="4" borderId="0" xfId="0" applyFont="1" applyFill="1"/>
    <xf numFmtId="0" fontId="1" fillId="5" borderId="0" xfId="0" applyFont="1" applyFill="1" applyAlignment="1">
      <alignment vertical="center" wrapText="1"/>
    </xf>
    <xf numFmtId="165" fontId="0" fillId="0" borderId="0" xfId="0" applyNumberFormat="1" applyAlignment="1">
      <alignment wrapText="1"/>
    </xf>
    <xf numFmtId="165" fontId="5" fillId="6" borderId="0" xfId="0" applyNumberFormat="1" applyFont="1" applyFill="1" applyAlignment="1">
      <alignment wrapText="1"/>
    </xf>
    <xf numFmtId="0" fontId="6" fillId="0" borderId="0" xfId="0" applyFont="1" applyAlignment="1">
      <alignment wrapText="1"/>
    </xf>
    <xf numFmtId="9" fontId="0" fillId="0" borderId="0" xfId="0" applyNumberFormat="1" applyAlignment="1">
      <alignment wrapText="1"/>
    </xf>
    <xf numFmtId="0" fontId="2" fillId="5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Current Policy Score Bands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Dashboard!$D$5:$D$8</c:f>
              <c:strCache>
                <c:ptCount val="4"/>
                <c:pt idx="0">
                  <c:v>Favorable</c:v>
                </c:pt>
                <c:pt idx="1">
                  <c:v>Moderate</c:v>
                </c:pt>
                <c:pt idx="2">
                  <c:v>Challenging</c:v>
                </c:pt>
                <c:pt idx="3">
                  <c:v>Restrictive</c:v>
                </c:pt>
              </c:strCache>
            </c:strRef>
          </c:cat>
          <c:val>
            <c:numRef>
              <c:f>Dashboard!$E$5:$E$8</c:f>
              <c:numCache>
                <c:formatCode>General</c:formatCode>
                <c:ptCount val="4"/>
                <c:pt idx="0">
                  <c:v>4</c:v>
                </c:pt>
                <c:pt idx="1">
                  <c:v>17</c:v>
                </c:pt>
                <c:pt idx="2">
                  <c:v>24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4-42EC-9FC4-C1D7AC295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ountyLocalTable" displayName="CountyLocalTable" ref="A1:V14" totalsRowShown="0">
  <tableColumns count="22">
    <tableColumn id="1" xr3:uid="{00000000-0010-0000-0000-000001000000}" name="State"/>
    <tableColumn id="2" xr3:uid="{00000000-0010-0000-0000-000002000000}" name="County"/>
    <tableColumn id="3" xr3:uid="{00000000-0010-0000-0000-000003000000}" name="County FIPS"/>
    <tableColumn id="4" xr3:uid="{00000000-0010-0000-0000-000004000000}" name="County Tier"/>
    <tableColumn id="5" xr3:uid="{00000000-0010-0000-0000-000005000000}" name="Use in State Rollup?"/>
    <tableColumn id="6" xr3:uid="{00000000-0010-0000-0000-000006000000}" name="Market Relevance Weight"/>
    <tableColumn id="7" xr3:uid="{00000000-0010-0000-0000-000007000000}" name="HeatMap Opposition Index"/>
    <tableColumn id="8" xr3:uid="{00000000-0010-0000-0000-000008000000}" name="Community Score (1-5)"/>
    <tableColumn id="9" xr3:uid="{00000000-0010-0000-0000-000009000000}" name="Local Policy &amp; Entitlements (1-5)"/>
    <tableColumn id="10" xr3:uid="{00000000-0010-0000-0000-00000A000000}" name="Development Precedent (1-5)"/>
    <tableColumn id="11" xr3:uid="{00000000-0010-0000-0000-00000B000000}" name="Raw County Local Score"/>
    <tableColumn id="12" xr3:uid="{00000000-0010-0000-0000-00000C000000}" name="Rounded County Local Score"/>
    <tableColumn id="13" xr3:uid="{00000000-0010-0000-0000-00000D000000}" name="Contested DC Projects"/>
    <tableColumn id="14" xr3:uid="{00000000-0010-0000-0000-00000E000000}" name="Operating DC MW"/>
    <tableColumn id="15" xr3:uid="{00000000-0010-0000-0000-00000F000000}" name="Planned / Construction DC MW"/>
    <tableColumn id="16" xr3:uid="{00000000-0010-0000-0000-000010000000}" name="Moratoria / Ordinance Signal"/>
    <tableColumn id="17" xr3:uid="{00000000-0010-0000-0000-000011000000}" name="HeatMap Date"/>
    <tableColumn id="18" xr3:uid="{00000000-0010-0000-0000-000012000000}" name="Confidence"/>
    <tableColumn id="19" xr3:uid="{00000000-0010-0000-0000-000013000000}" name="Analyst Rationale"/>
    <tableColumn id="20" xr3:uid="{00000000-0010-0000-0000-000014000000}" name="Source ID"/>
    <tableColumn id="21" xr3:uid="{00000000-0010-0000-0000-000015000000}" name="Source Detail"/>
    <tableColumn id="22" xr3:uid="{00000000-0010-0000-0000-000016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PolicyEventsTable" displayName="PolicyEventsTable" ref="A1:W14" totalsRowShown="0">
  <tableColumns count="23">
    <tableColumn id="1" xr3:uid="{00000000-0010-0000-0100-000001000000}" name="Event ID"/>
    <tableColumn id="2" xr3:uid="{00000000-0010-0000-0100-000002000000}" name="Event Date"/>
    <tableColumn id="3" xr3:uid="{00000000-0010-0000-0100-000003000000}" name="Target Window"/>
    <tableColumn id="4" xr3:uid="{00000000-0010-0000-0100-000004000000}" name="State"/>
    <tableColumn id="5" xr3:uid="{00000000-0010-0000-0100-000005000000}" name="Abbr"/>
    <tableColumn id="6" xr3:uid="{00000000-0010-0000-0100-000006000000}" name="Level"/>
    <tableColumn id="7" xr3:uid="{00000000-0010-0000-0100-000007000000}" name="Locality"/>
    <tableColumn id="8" xr3:uid="{00000000-0010-0000-0100-000008000000}" name="Event Type"/>
    <tableColumn id="9" xr3:uid="{00000000-0010-0000-0100-000009000000}" name="Category"/>
    <tableColumn id="10" xr3:uid="{00000000-0010-0000-0100-00000A000000}" name="Status"/>
    <tableColumn id="11" xr3:uid="{00000000-0010-0000-0100-00000B000000}" name="Direction"/>
    <tableColumn id="12" xr3:uid="{00000000-0010-0000-0100-00000C000000}" name="Severity"/>
    <tableColumn id="13" xr3:uid="{00000000-0010-0000-0100-00000D000000}" name="Headline"/>
    <tableColumn id="14" xr3:uid="{00000000-0010-0000-0100-00000E000000}" name="Detail"/>
    <tableColumn id="15" xr3:uid="{00000000-0010-0000-0100-00000F000000}" name="Score Dimension"/>
    <tableColumn id="16" xr3:uid="{00000000-0010-0000-0100-000010000000}" name="Score Impact"/>
    <tableColumn id="17" xr3:uid="{00000000-0010-0000-0100-000011000000}" name="Trend Impact"/>
    <tableColumn id="18" xr3:uid="{00000000-0010-0000-0100-000012000000}" name="Forward Risk Impact"/>
    <tableColumn id="19" xr3:uid="{00000000-0010-0000-0100-000013000000}" name="Source ID"/>
    <tableColumn id="20" xr3:uid="{00000000-0010-0000-0100-000014000000}" name="Source Locator"/>
    <tableColumn id="21" xr3:uid="{00000000-0010-0000-0100-000015000000}" name="Source URL"/>
    <tableColumn id="22" xr3:uid="{00000000-0010-0000-0100-000016000000}" name="Last Verified"/>
    <tableColumn id="23" xr3:uid="{00000000-0010-0000-0100-000017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ourcesTable" displayName="SourcesTable" ref="A1:K5" totalsRowShown="0">
  <tableColumns count="11">
    <tableColumn id="1" xr3:uid="{00000000-0010-0000-0200-000001000000}" name="Source ID"/>
    <tableColumn id="2" xr3:uid="{00000000-0010-0000-0200-000002000000}" name="Source Name"/>
    <tableColumn id="3" xr3:uid="{00000000-0010-0000-0200-000003000000}" name="Source Type"/>
    <tableColumn id="4" xr3:uid="{00000000-0010-0000-0200-000004000000}" name="Publisher / Organization"/>
    <tableColumn id="5" xr3:uid="{00000000-0010-0000-0200-000005000000}" name="Source Date"/>
    <tableColumn id="6" xr3:uid="{00000000-0010-0000-0200-000006000000}" name="Scope"/>
    <tableColumn id="7" xr3:uid="{00000000-0010-0000-0200-000007000000}" name="File / URL"/>
    <tableColumn id="8" xr3:uid="{00000000-0010-0000-0200-000008000000}" name="Citation / Locator"/>
    <tableColumn id="9" xr3:uid="{00000000-0010-0000-0200-000009000000}" name="States / Counties Covered"/>
    <tableColumn id="10" xr3:uid="{00000000-0010-0000-0200-00000A000000}" name="Last Verified"/>
    <tableColumn id="11" xr3:uid="{00000000-0010-0000-0200-00000B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ChangeLogTable" displayName="ChangeLogTable" ref="A1:M51" totalsRowShown="0">
  <tableColumns count="13">
    <tableColumn id="1" xr3:uid="{00000000-0010-0000-0300-000001000000}" name="Change ID"/>
    <tableColumn id="2" xr3:uid="{00000000-0010-0000-0300-000002000000}" name="Date"/>
    <tableColumn id="3" xr3:uid="{00000000-0010-0000-0300-000003000000}" name="State / County"/>
    <tableColumn id="4" xr3:uid="{00000000-0010-0000-0300-000004000000}" name="Record Type"/>
    <tableColumn id="5" xr3:uid="{00000000-0010-0000-0300-000005000000}" name="Dimension / Field"/>
    <tableColumn id="6" xr3:uid="{00000000-0010-0000-0300-000006000000}" name="Old Value"/>
    <tableColumn id="7" xr3:uid="{00000000-0010-0000-0300-000007000000}" name="New Value"/>
    <tableColumn id="8" xr3:uid="{00000000-0010-0000-0300-000008000000}" name="Reason"/>
    <tableColumn id="9" xr3:uid="{00000000-0010-0000-0300-000009000000}" name="Event ID"/>
    <tableColumn id="10" xr3:uid="{00000000-0010-0000-0300-00000A000000}" name="Source ID"/>
    <tableColumn id="11" xr3:uid="{00000000-0010-0000-0300-00000B000000}" name="Analyst"/>
    <tableColumn id="12" xr3:uid="{00000000-0010-0000-0300-00000C000000}" name="Published?"/>
    <tableColumn id="13" xr3:uid="{00000000-0010-0000-0300-00000D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C21" sqref="C21"/>
    </sheetView>
  </sheetViews>
  <sheetFormatPr baseColWidth="10" defaultColWidth="8.83203125" defaultRowHeight="15"/>
  <cols>
    <col min="1" max="1" width="24" customWidth="1"/>
    <col min="2" max="2" width="32" customWidth="1"/>
    <col min="3" max="8" width="18" customWidth="1"/>
  </cols>
  <sheetData>
    <row r="1" spans="1:8" ht="22.75" customHeight="1">
      <c r="A1" s="11" t="s">
        <v>0</v>
      </c>
      <c r="B1" s="11"/>
      <c r="C1" s="11"/>
      <c r="D1" s="11"/>
      <c r="E1" s="11"/>
      <c r="F1" s="11"/>
      <c r="G1" s="11"/>
      <c r="H1" s="11"/>
    </row>
    <row r="2" spans="1:8">
      <c r="A2" s="12"/>
      <c r="B2" s="12"/>
      <c r="C2" s="12"/>
      <c r="D2" s="12"/>
      <c r="E2" s="12"/>
      <c r="F2" s="12"/>
      <c r="G2" s="12"/>
      <c r="H2" s="12"/>
    </row>
    <row r="3" spans="1:8">
      <c r="A3" s="2"/>
      <c r="B3" s="2"/>
      <c r="C3" s="2"/>
      <c r="D3" s="2"/>
      <c r="E3" s="2"/>
      <c r="F3" s="2"/>
      <c r="G3" s="2"/>
      <c r="H3" s="2"/>
    </row>
    <row r="4" spans="1:8" ht="16">
      <c r="A4" s="1" t="s">
        <v>1</v>
      </c>
      <c r="B4" s="1" t="s">
        <v>2</v>
      </c>
      <c r="C4" s="2"/>
      <c r="D4" s="1" t="s">
        <v>3</v>
      </c>
      <c r="E4" s="1" t="s">
        <v>4</v>
      </c>
      <c r="F4" s="2"/>
      <c r="G4" s="2"/>
      <c r="H4" s="2"/>
    </row>
    <row r="5" spans="1:8" ht="16">
      <c r="A5" s="2" t="s">
        <v>5</v>
      </c>
      <c r="B5" s="2">
        <f>COUNTA('State Scores'!A2:A51)</f>
        <v>50</v>
      </c>
      <c r="C5" s="2"/>
      <c r="D5" s="2" t="s">
        <v>6</v>
      </c>
      <c r="E5" s="2">
        <f>COUNTIF('State Scores'!G2:G51,"&gt;=80")</f>
        <v>4</v>
      </c>
      <c r="F5" s="2"/>
      <c r="G5" s="2"/>
      <c r="H5" s="2"/>
    </row>
    <row r="6" spans="1:8" ht="16">
      <c r="A6" s="2" t="s">
        <v>7</v>
      </c>
      <c r="B6" s="2">
        <f>COUNTIF('State Scores'!G2:G51,"&gt;=80")</f>
        <v>4</v>
      </c>
      <c r="C6" s="2"/>
      <c r="D6" s="2" t="s">
        <v>8</v>
      </c>
      <c r="E6" s="2">
        <f>COUNTIFS('State Scores'!G2:G51,"&gt;=60",'State Scores'!G2:G51,"&lt;80")</f>
        <v>17</v>
      </c>
      <c r="F6" s="2"/>
      <c r="G6" s="2"/>
      <c r="H6" s="2"/>
    </row>
    <row r="7" spans="1:8" ht="16">
      <c r="A7" s="2" t="s">
        <v>9</v>
      </c>
      <c r="B7" s="2">
        <f>COUNTIF('State Scores'!I2:I51,"HIGH")</f>
        <v>17</v>
      </c>
      <c r="C7" s="2"/>
      <c r="D7" s="2" t="s">
        <v>10</v>
      </c>
      <c r="E7" s="2">
        <f>COUNTIFS('State Scores'!G2:G51,"&gt;=40",'State Scores'!G2:G51,"&lt;60")</f>
        <v>24</v>
      </c>
      <c r="F7" s="2"/>
      <c r="G7" s="2"/>
      <c r="H7" s="2"/>
    </row>
    <row r="8" spans="1:8" ht="16">
      <c r="A8" s="2" t="s">
        <v>11</v>
      </c>
      <c r="B8" s="2">
        <f>COUNTIF('State Scores'!J2:J51,"High")</f>
        <v>20</v>
      </c>
      <c r="C8" s="2"/>
      <c r="D8" s="2" t="s">
        <v>12</v>
      </c>
      <c r="E8" s="2">
        <f>COUNTIF('State Scores'!G2:G51,"&lt;40")</f>
        <v>5</v>
      </c>
      <c r="F8" s="2"/>
      <c r="G8" s="2"/>
      <c r="H8" s="2"/>
    </row>
    <row r="9" spans="1:8" ht="16">
      <c r="A9" s="2"/>
      <c r="B9" s="2"/>
      <c r="C9" s="2"/>
      <c r="D9" s="2" t="s">
        <v>13</v>
      </c>
      <c r="E9" s="2">
        <f>SUM(E5:E8)</f>
        <v>50</v>
      </c>
      <c r="F9" s="2"/>
      <c r="G9" s="2"/>
      <c r="H9" s="2"/>
    </row>
    <row r="10" spans="1:8" ht="16">
      <c r="A10" s="2" t="s">
        <v>301</v>
      </c>
      <c r="B10" s="2">
        <f>AVERAGE('State Scores'!G2:G51)</f>
        <v>57.66</v>
      </c>
      <c r="C10" s="2"/>
      <c r="D10" s="2"/>
      <c r="E10" s="2"/>
      <c r="F10" s="2"/>
      <c r="G10" s="2"/>
      <c r="H10" s="2"/>
    </row>
    <row r="11" spans="1:8">
      <c r="A11" s="13" t="s">
        <v>302</v>
      </c>
      <c r="B11" s="13">
        <f>SUM(E5:E8)</f>
        <v>50</v>
      </c>
      <c r="C11" s="13"/>
      <c r="D11" s="13"/>
      <c r="E11" s="13"/>
      <c r="F11" s="13"/>
      <c r="G11" s="13"/>
      <c r="H11" s="13"/>
    </row>
    <row r="12" spans="1:8" ht="16">
      <c r="A12" s="2" t="s">
        <v>303</v>
      </c>
      <c r="B12" s="2" t="str">
        <f>IF(B5=B11,"OK","CHECK")</f>
        <v>OK</v>
      </c>
      <c r="C12" s="2"/>
      <c r="D12" s="2"/>
      <c r="E12" s="2"/>
      <c r="F12" s="2"/>
      <c r="G12" s="2"/>
      <c r="H12" s="2"/>
    </row>
    <row r="13" spans="1:8" ht="16">
      <c r="A13" s="1" t="s">
        <v>14</v>
      </c>
      <c r="B13" s="1" t="s">
        <v>15</v>
      </c>
      <c r="C13" s="1"/>
      <c r="D13" s="1"/>
      <c r="E13" s="1"/>
      <c r="F13" s="1"/>
      <c r="G13" s="1"/>
      <c r="H13" s="1"/>
    </row>
    <row r="14" spans="1:8" ht="48">
      <c r="A14" s="2" t="s">
        <v>16</v>
      </c>
      <c r="B14" s="2" t="s">
        <v>17</v>
      </c>
      <c r="C14" s="2"/>
      <c r="D14" s="2"/>
      <c r="E14" s="2"/>
      <c r="F14" s="2"/>
      <c r="G14" s="2"/>
      <c r="H14" s="2"/>
    </row>
    <row r="15" spans="1:8" ht="48">
      <c r="A15" s="2" t="s">
        <v>18</v>
      </c>
      <c r="B15" s="2" t="s">
        <v>19</v>
      </c>
      <c r="C15" s="2"/>
      <c r="D15" s="2"/>
      <c r="E15" s="2"/>
      <c r="F15" s="2"/>
      <c r="G15" s="2"/>
      <c r="H15" s="2"/>
    </row>
    <row r="16" spans="1:8" ht="48">
      <c r="A16" s="2" t="s">
        <v>20</v>
      </c>
      <c r="B16" s="2" t="s">
        <v>21</v>
      </c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</sheetData>
  <mergeCells count="2">
    <mergeCell ref="A1:H2"/>
    <mergeCell ref="A11:H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/>
  <cols>
    <col min="1" max="1" width="21" customWidth="1"/>
    <col min="2" max="2" width="9" customWidth="1"/>
    <col min="3" max="5" width="29" customWidth="1"/>
    <col min="6" max="6" width="24.83203125" bestFit="1" customWidth="1"/>
    <col min="7" max="7" width="17" customWidth="1"/>
    <col min="8" max="13" width="22" customWidth="1"/>
  </cols>
  <sheetData>
    <row r="1" spans="1:13" ht="30" customHeight="1">
      <c r="A1" s="6" t="s">
        <v>63</v>
      </c>
      <c r="B1" s="6" t="s">
        <v>115</v>
      </c>
      <c r="C1" s="6" t="s">
        <v>304</v>
      </c>
      <c r="D1" s="6" t="s">
        <v>305</v>
      </c>
      <c r="E1" s="6" t="s">
        <v>306</v>
      </c>
      <c r="F1" s="6" t="s">
        <v>307</v>
      </c>
      <c r="G1" s="6" t="s">
        <v>217</v>
      </c>
      <c r="H1" s="6" t="s">
        <v>22</v>
      </c>
      <c r="I1" s="6" t="s">
        <v>308</v>
      </c>
      <c r="J1" s="6" t="s">
        <v>24</v>
      </c>
      <c r="K1" s="6" t="s">
        <v>25</v>
      </c>
      <c r="L1" s="6" t="s">
        <v>26</v>
      </c>
      <c r="M1" s="6" t="s">
        <v>309</v>
      </c>
    </row>
    <row r="2" spans="1:13" ht="64">
      <c r="A2" s="9" t="s">
        <v>216</v>
      </c>
      <c r="B2" s="9" t="s">
        <v>310</v>
      </c>
      <c r="C2" s="7">
        <v>0</v>
      </c>
      <c r="D2" s="7">
        <v>0</v>
      </c>
      <c r="E2" s="7">
        <v>0</v>
      </c>
      <c r="F2" s="7">
        <v>0</v>
      </c>
      <c r="G2" s="8">
        <f t="shared" ref="G2:G33" si="0">ROUND(20*(0.35*C2+0.15*D2+0.25*E2+0.25*F2),1)</f>
        <v>0</v>
      </c>
      <c r="H2" s="2" t="s">
        <v>54</v>
      </c>
      <c r="I2" s="2" t="s">
        <v>39</v>
      </c>
      <c r="J2" s="2" t="s">
        <v>32</v>
      </c>
      <c r="K2" s="2" t="s">
        <v>33</v>
      </c>
      <c r="L2" s="2" t="s">
        <v>50</v>
      </c>
      <c r="M2" s="2" t="s">
        <v>311</v>
      </c>
    </row>
    <row r="3" spans="1:13" ht="80">
      <c r="A3" s="9" t="s">
        <v>221</v>
      </c>
      <c r="B3" s="9" t="s">
        <v>312</v>
      </c>
      <c r="C3" s="7">
        <v>2</v>
      </c>
      <c r="D3" s="7">
        <v>4</v>
      </c>
      <c r="E3" s="7">
        <v>3.5</v>
      </c>
      <c r="F3" s="7">
        <v>3</v>
      </c>
      <c r="G3" s="8">
        <f t="shared" si="0"/>
        <v>58.5</v>
      </c>
      <c r="H3" s="2" t="s">
        <v>46</v>
      </c>
      <c r="I3" s="2" t="s">
        <v>39</v>
      </c>
      <c r="J3" s="2" t="s">
        <v>48</v>
      </c>
      <c r="K3" s="2" t="s">
        <v>33</v>
      </c>
      <c r="L3" s="2" t="s">
        <v>56</v>
      </c>
      <c r="M3" s="2" t="s">
        <v>313</v>
      </c>
    </row>
    <row r="4" spans="1:13" ht="96">
      <c r="A4" s="9" t="s">
        <v>93</v>
      </c>
      <c r="B4" s="9" t="s">
        <v>314</v>
      </c>
      <c r="C4" s="7">
        <v>2.5</v>
      </c>
      <c r="D4" s="7">
        <v>2.5</v>
      </c>
      <c r="E4" s="7">
        <v>2</v>
      </c>
      <c r="F4" s="7">
        <v>2.5</v>
      </c>
      <c r="G4" s="8">
        <f t="shared" si="0"/>
        <v>47.5</v>
      </c>
      <c r="H4" s="2" t="s">
        <v>59</v>
      </c>
      <c r="I4" s="2" t="s">
        <v>55</v>
      </c>
      <c r="J4" s="2" t="s">
        <v>32</v>
      </c>
      <c r="K4" s="2" t="s">
        <v>33</v>
      </c>
      <c r="L4" s="2" t="s">
        <v>56</v>
      </c>
      <c r="M4" s="2" t="s">
        <v>315</v>
      </c>
    </row>
    <row r="5" spans="1:13" ht="80">
      <c r="A5" s="9" t="s">
        <v>224</v>
      </c>
      <c r="B5" s="9" t="s">
        <v>316</v>
      </c>
      <c r="C5" s="7">
        <v>3.5</v>
      </c>
      <c r="D5" s="7">
        <v>4</v>
      </c>
      <c r="E5" s="7">
        <v>4.5</v>
      </c>
      <c r="F5" s="7">
        <v>3.5</v>
      </c>
      <c r="G5" s="8">
        <f t="shared" si="0"/>
        <v>76.5</v>
      </c>
      <c r="H5" s="2" t="s">
        <v>46</v>
      </c>
      <c r="I5" s="2" t="s">
        <v>39</v>
      </c>
      <c r="J5" s="2" t="s">
        <v>48</v>
      </c>
      <c r="K5" s="2" t="s">
        <v>33</v>
      </c>
      <c r="L5" s="2" t="s">
        <v>42</v>
      </c>
      <c r="M5" s="2" t="s">
        <v>317</v>
      </c>
    </row>
    <row r="6" spans="1:13" ht="80">
      <c r="A6" s="9" t="s">
        <v>83</v>
      </c>
      <c r="B6" s="9" t="s">
        <v>318</v>
      </c>
      <c r="C6" s="7">
        <v>2</v>
      </c>
      <c r="D6" s="7">
        <v>1.5</v>
      </c>
      <c r="E6" s="7">
        <v>2</v>
      </c>
      <c r="F6" s="7">
        <v>1.5</v>
      </c>
      <c r="G6" s="8">
        <f t="shared" si="0"/>
        <v>36</v>
      </c>
      <c r="H6" s="2" t="s">
        <v>59</v>
      </c>
      <c r="I6" s="2" t="s">
        <v>55</v>
      </c>
      <c r="J6" s="2" t="s">
        <v>40</v>
      </c>
      <c r="K6" s="2" t="s">
        <v>33</v>
      </c>
      <c r="L6" s="2" t="s">
        <v>60</v>
      </c>
      <c r="M6" s="2" t="s">
        <v>319</v>
      </c>
    </row>
    <row r="7" spans="1:13" ht="80">
      <c r="A7" s="9" t="s">
        <v>227</v>
      </c>
      <c r="B7" s="9" t="s">
        <v>320</v>
      </c>
      <c r="C7" s="7">
        <v>2.5</v>
      </c>
      <c r="D7" s="7">
        <v>2.5</v>
      </c>
      <c r="E7" s="7">
        <v>2</v>
      </c>
      <c r="F7" s="7">
        <v>2</v>
      </c>
      <c r="G7" s="8">
        <f t="shared" si="0"/>
        <v>45</v>
      </c>
      <c r="H7" s="2" t="s">
        <v>54</v>
      </c>
      <c r="I7" s="2" t="s">
        <v>47</v>
      </c>
      <c r="J7" s="2" t="s">
        <v>40</v>
      </c>
      <c r="K7" s="2" t="s">
        <v>33</v>
      </c>
      <c r="L7" s="2" t="s">
        <v>56</v>
      </c>
      <c r="M7" s="2" t="s">
        <v>321</v>
      </c>
    </row>
    <row r="8" spans="1:13" ht="80">
      <c r="A8" s="9" t="s">
        <v>229</v>
      </c>
      <c r="B8" s="9" t="s">
        <v>322</v>
      </c>
      <c r="C8" s="7">
        <v>3</v>
      </c>
      <c r="D8" s="7">
        <v>3</v>
      </c>
      <c r="E8" s="7">
        <v>2.5</v>
      </c>
      <c r="F8" s="7">
        <v>3</v>
      </c>
      <c r="G8" s="8">
        <f t="shared" si="0"/>
        <v>57.5</v>
      </c>
      <c r="H8" s="2" t="s">
        <v>54</v>
      </c>
      <c r="I8" s="2" t="s">
        <v>47</v>
      </c>
      <c r="J8" s="2" t="s">
        <v>48</v>
      </c>
      <c r="K8" s="2" t="s">
        <v>33</v>
      </c>
      <c r="L8" s="2" t="s">
        <v>56</v>
      </c>
      <c r="M8" s="2" t="s">
        <v>323</v>
      </c>
    </row>
    <row r="9" spans="1:13" ht="80">
      <c r="A9" s="9" t="s">
        <v>141</v>
      </c>
      <c r="B9" s="9" t="s">
        <v>142</v>
      </c>
      <c r="C9" s="7">
        <v>2</v>
      </c>
      <c r="D9" s="7">
        <v>3.5</v>
      </c>
      <c r="E9" s="7">
        <v>3</v>
      </c>
      <c r="F9" s="7">
        <v>3</v>
      </c>
      <c r="G9" s="8">
        <f t="shared" si="0"/>
        <v>54.5</v>
      </c>
      <c r="H9" s="2" t="s">
        <v>54</v>
      </c>
      <c r="I9" s="2" t="s">
        <v>47</v>
      </c>
      <c r="J9" s="2" t="s">
        <v>40</v>
      </c>
      <c r="K9" s="2" t="s">
        <v>33</v>
      </c>
      <c r="L9" s="2" t="s">
        <v>56</v>
      </c>
      <c r="M9" s="2" t="s">
        <v>324</v>
      </c>
    </row>
    <row r="10" spans="1:13" ht="64">
      <c r="A10" s="9" t="s">
        <v>232</v>
      </c>
      <c r="B10" s="9" t="s">
        <v>325</v>
      </c>
      <c r="C10" s="7">
        <v>3.5</v>
      </c>
      <c r="D10" s="7">
        <v>3</v>
      </c>
      <c r="E10" s="7">
        <v>3</v>
      </c>
      <c r="F10" s="7">
        <v>2</v>
      </c>
      <c r="G10" s="8">
        <f t="shared" si="0"/>
        <v>58.5</v>
      </c>
      <c r="H10" s="2" t="s">
        <v>54</v>
      </c>
      <c r="I10" s="2" t="s">
        <v>47</v>
      </c>
      <c r="J10" s="2" t="s">
        <v>40</v>
      </c>
      <c r="K10" s="2" t="s">
        <v>33</v>
      </c>
      <c r="L10" s="2" t="s">
        <v>50</v>
      </c>
      <c r="M10" s="2" t="s">
        <v>326</v>
      </c>
    </row>
    <row r="11" spans="1:13" ht="64">
      <c r="A11" s="9" t="s">
        <v>98</v>
      </c>
      <c r="B11" s="9" t="s">
        <v>327</v>
      </c>
      <c r="C11" s="7">
        <v>2.5</v>
      </c>
      <c r="D11" s="7">
        <v>3</v>
      </c>
      <c r="E11" s="7">
        <v>4</v>
      </c>
      <c r="F11" s="7">
        <v>1.5</v>
      </c>
      <c r="G11" s="8">
        <f t="shared" si="0"/>
        <v>54</v>
      </c>
      <c r="H11" s="2" t="s">
        <v>54</v>
      </c>
      <c r="I11" s="2" t="s">
        <v>47</v>
      </c>
      <c r="J11" s="2" t="s">
        <v>32</v>
      </c>
      <c r="K11" s="2" t="s">
        <v>33</v>
      </c>
      <c r="L11" s="2" t="s">
        <v>56</v>
      </c>
      <c r="M11" s="2" t="s">
        <v>328</v>
      </c>
    </row>
    <row r="12" spans="1:13" ht="80">
      <c r="A12" s="9" t="s">
        <v>235</v>
      </c>
      <c r="B12" s="9" t="s">
        <v>329</v>
      </c>
      <c r="C12" s="7">
        <v>1.5</v>
      </c>
      <c r="D12" s="7">
        <v>4</v>
      </c>
      <c r="E12" s="7">
        <v>2.5</v>
      </c>
      <c r="F12" s="7">
        <v>3</v>
      </c>
      <c r="G12" s="8">
        <f t="shared" si="0"/>
        <v>50</v>
      </c>
      <c r="H12" s="2" t="s">
        <v>46</v>
      </c>
      <c r="I12" s="2" t="s">
        <v>39</v>
      </c>
      <c r="J12" s="2" t="s">
        <v>48</v>
      </c>
      <c r="K12" s="2" t="s">
        <v>33</v>
      </c>
      <c r="L12" s="2" t="s">
        <v>60</v>
      </c>
      <c r="M12" s="2" t="s">
        <v>330</v>
      </c>
    </row>
    <row r="13" spans="1:13" ht="96">
      <c r="A13" s="9" t="s">
        <v>237</v>
      </c>
      <c r="B13" s="9" t="s">
        <v>331</v>
      </c>
      <c r="C13" s="7">
        <v>4</v>
      </c>
      <c r="D13" s="7">
        <v>3</v>
      </c>
      <c r="E13" s="7">
        <v>4</v>
      </c>
      <c r="F13" s="7">
        <v>3.5</v>
      </c>
      <c r="G13" s="8">
        <f t="shared" si="0"/>
        <v>74.5</v>
      </c>
      <c r="H13" s="2" t="s">
        <v>54</v>
      </c>
      <c r="I13" s="2" t="s">
        <v>47</v>
      </c>
      <c r="J13" s="2" t="s">
        <v>40</v>
      </c>
      <c r="K13" s="2" t="s">
        <v>33</v>
      </c>
      <c r="L13" s="2" t="s">
        <v>42</v>
      </c>
      <c r="M13" s="2" t="s">
        <v>332</v>
      </c>
    </row>
    <row r="14" spans="1:13" ht="96">
      <c r="A14" s="9" t="s">
        <v>103</v>
      </c>
      <c r="B14" s="9" t="s">
        <v>333</v>
      </c>
      <c r="C14" s="7">
        <v>2.5</v>
      </c>
      <c r="D14" s="7">
        <v>2.5</v>
      </c>
      <c r="E14" s="7">
        <v>2</v>
      </c>
      <c r="F14" s="7">
        <v>2</v>
      </c>
      <c r="G14" s="8">
        <f t="shared" si="0"/>
        <v>45</v>
      </c>
      <c r="H14" s="2" t="s">
        <v>59</v>
      </c>
      <c r="I14" s="2" t="s">
        <v>55</v>
      </c>
      <c r="J14" s="2" t="s">
        <v>40</v>
      </c>
      <c r="K14" s="2" t="s">
        <v>33</v>
      </c>
      <c r="L14" s="2" t="s">
        <v>56</v>
      </c>
      <c r="M14" s="2" t="s">
        <v>334</v>
      </c>
    </row>
    <row r="15" spans="1:13" ht="96">
      <c r="A15" s="9" t="s">
        <v>240</v>
      </c>
      <c r="B15" s="9" t="s">
        <v>335</v>
      </c>
      <c r="C15" s="7">
        <v>2.5</v>
      </c>
      <c r="D15" s="7">
        <v>4</v>
      </c>
      <c r="E15" s="7">
        <v>4</v>
      </c>
      <c r="F15" s="7">
        <v>1.5</v>
      </c>
      <c r="G15" s="8">
        <f t="shared" si="0"/>
        <v>57</v>
      </c>
      <c r="H15" s="2" t="s">
        <v>54</v>
      </c>
      <c r="I15" s="2" t="s">
        <v>47</v>
      </c>
      <c r="J15" s="2" t="s">
        <v>32</v>
      </c>
      <c r="K15" s="2" t="s">
        <v>33</v>
      </c>
      <c r="L15" s="2" t="s">
        <v>336</v>
      </c>
      <c r="M15" s="2" t="s">
        <v>337</v>
      </c>
    </row>
    <row r="16" spans="1:13" ht="80">
      <c r="A16" s="9" t="s">
        <v>242</v>
      </c>
      <c r="B16" s="9" t="s">
        <v>338</v>
      </c>
      <c r="C16" s="7">
        <v>3.5</v>
      </c>
      <c r="D16" s="7">
        <v>4</v>
      </c>
      <c r="E16" s="7">
        <v>4</v>
      </c>
      <c r="F16" s="7">
        <v>2</v>
      </c>
      <c r="G16" s="8">
        <f t="shared" si="0"/>
        <v>66.5</v>
      </c>
      <c r="H16" s="2" t="s">
        <v>54</v>
      </c>
      <c r="I16" s="2" t="s">
        <v>47</v>
      </c>
      <c r="J16" s="2" t="s">
        <v>40</v>
      </c>
      <c r="K16" s="2" t="s">
        <v>33</v>
      </c>
      <c r="L16" s="2" t="s">
        <v>50</v>
      </c>
      <c r="M16" s="2" t="s">
        <v>339</v>
      </c>
    </row>
    <row r="17" spans="1:13" ht="64">
      <c r="A17" s="9" t="s">
        <v>244</v>
      </c>
      <c r="B17" s="9" t="s">
        <v>340</v>
      </c>
      <c r="C17" s="7">
        <v>3.5</v>
      </c>
      <c r="D17" s="7">
        <v>4</v>
      </c>
      <c r="E17" s="7">
        <v>5</v>
      </c>
      <c r="F17" s="7">
        <v>1.5</v>
      </c>
      <c r="G17" s="8">
        <f t="shared" si="0"/>
        <v>69</v>
      </c>
      <c r="H17" s="2" t="s">
        <v>54</v>
      </c>
      <c r="I17" s="2" t="s">
        <v>39</v>
      </c>
      <c r="J17" s="2" t="s">
        <v>32</v>
      </c>
      <c r="K17" s="2" t="s">
        <v>33</v>
      </c>
      <c r="L17" s="2" t="s">
        <v>42</v>
      </c>
      <c r="M17" s="2" t="s">
        <v>341</v>
      </c>
    </row>
    <row r="18" spans="1:13" ht="96">
      <c r="A18" s="9" t="s">
        <v>153</v>
      </c>
      <c r="B18" s="9" t="s">
        <v>154</v>
      </c>
      <c r="C18" s="7">
        <v>3</v>
      </c>
      <c r="D18" s="7">
        <v>2</v>
      </c>
      <c r="E18" s="7">
        <v>2.5</v>
      </c>
      <c r="F18" s="7">
        <v>2</v>
      </c>
      <c r="G18" s="8">
        <f t="shared" si="0"/>
        <v>49.5</v>
      </c>
      <c r="H18" s="2" t="s">
        <v>59</v>
      </c>
      <c r="I18" s="2" t="s">
        <v>55</v>
      </c>
      <c r="J18" s="2" t="s">
        <v>40</v>
      </c>
      <c r="K18" s="2" t="s">
        <v>33</v>
      </c>
      <c r="L18" s="2" t="s">
        <v>56</v>
      </c>
      <c r="M18" s="2" t="s">
        <v>342</v>
      </c>
    </row>
    <row r="19" spans="1:13" ht="96">
      <c r="A19" s="9" t="s">
        <v>247</v>
      </c>
      <c r="B19" s="9" t="s">
        <v>343</v>
      </c>
      <c r="C19" s="7">
        <v>4</v>
      </c>
      <c r="D19" s="7">
        <v>4</v>
      </c>
      <c r="E19" s="7">
        <v>5</v>
      </c>
      <c r="F19" s="7">
        <v>4.5</v>
      </c>
      <c r="G19" s="8">
        <f t="shared" si="0"/>
        <v>87.5</v>
      </c>
      <c r="H19" s="2" t="s">
        <v>46</v>
      </c>
      <c r="I19" s="2" t="s">
        <v>31</v>
      </c>
      <c r="J19" s="2" t="s">
        <v>32</v>
      </c>
      <c r="K19" s="2" t="s">
        <v>33</v>
      </c>
      <c r="L19" s="2" t="s">
        <v>34</v>
      </c>
      <c r="M19" s="2" t="s">
        <v>344</v>
      </c>
    </row>
    <row r="20" spans="1:13" ht="96">
      <c r="A20" s="9" t="s">
        <v>249</v>
      </c>
      <c r="B20" s="9" t="s">
        <v>345</v>
      </c>
      <c r="C20" s="7">
        <v>3</v>
      </c>
      <c r="D20" s="7">
        <v>3</v>
      </c>
      <c r="E20" s="7">
        <v>2</v>
      </c>
      <c r="F20" s="7">
        <v>2</v>
      </c>
      <c r="G20" s="8">
        <f t="shared" si="0"/>
        <v>50</v>
      </c>
      <c r="H20" s="2" t="s">
        <v>54</v>
      </c>
      <c r="I20" s="2" t="s">
        <v>47</v>
      </c>
      <c r="J20" s="2" t="s">
        <v>40</v>
      </c>
      <c r="K20" s="2" t="s">
        <v>33</v>
      </c>
      <c r="L20" s="2" t="s">
        <v>56</v>
      </c>
      <c r="M20" s="2" t="s">
        <v>346</v>
      </c>
    </row>
    <row r="21" spans="1:13" ht="112">
      <c r="A21" s="9" t="s">
        <v>251</v>
      </c>
      <c r="B21" s="9" t="s">
        <v>347</v>
      </c>
      <c r="C21" s="7">
        <v>3</v>
      </c>
      <c r="D21" s="7">
        <v>3</v>
      </c>
      <c r="E21" s="7">
        <v>2</v>
      </c>
      <c r="F21" s="7">
        <v>2</v>
      </c>
      <c r="G21" s="8">
        <f t="shared" si="0"/>
        <v>50</v>
      </c>
      <c r="H21" s="2" t="s">
        <v>54</v>
      </c>
      <c r="I21" s="2" t="s">
        <v>47</v>
      </c>
      <c r="J21" s="2" t="s">
        <v>40</v>
      </c>
      <c r="K21" s="2" t="s">
        <v>33</v>
      </c>
      <c r="L21" s="2" t="s">
        <v>56</v>
      </c>
      <c r="M21" s="2" t="s">
        <v>348</v>
      </c>
    </row>
    <row r="22" spans="1:13" ht="96">
      <c r="A22" s="9" t="s">
        <v>253</v>
      </c>
      <c r="B22" s="9" t="s">
        <v>349</v>
      </c>
      <c r="C22" s="7">
        <v>2.5</v>
      </c>
      <c r="D22" s="7">
        <v>2</v>
      </c>
      <c r="E22" s="7">
        <v>2</v>
      </c>
      <c r="F22" s="7">
        <v>3</v>
      </c>
      <c r="G22" s="8">
        <f t="shared" si="0"/>
        <v>48.5</v>
      </c>
      <c r="H22" s="2" t="s">
        <v>59</v>
      </c>
      <c r="I22" s="2" t="s">
        <v>55</v>
      </c>
      <c r="J22" s="2" t="s">
        <v>40</v>
      </c>
      <c r="K22" s="2" t="s">
        <v>33</v>
      </c>
      <c r="L22" s="2" t="s">
        <v>56</v>
      </c>
      <c r="M22" s="2" t="s">
        <v>350</v>
      </c>
    </row>
    <row r="23" spans="1:13" ht="96">
      <c r="A23" s="9" t="s">
        <v>255</v>
      </c>
      <c r="B23" s="9" t="s">
        <v>351</v>
      </c>
      <c r="C23" s="7">
        <v>3</v>
      </c>
      <c r="D23" s="7">
        <v>3</v>
      </c>
      <c r="E23" s="7">
        <v>3</v>
      </c>
      <c r="F23" s="7">
        <v>3</v>
      </c>
      <c r="G23" s="8">
        <f t="shared" si="0"/>
        <v>60</v>
      </c>
      <c r="H23" s="2" t="s">
        <v>54</v>
      </c>
      <c r="I23" s="2" t="s">
        <v>47</v>
      </c>
      <c r="J23" s="2" t="s">
        <v>40</v>
      </c>
      <c r="K23" s="2" t="s">
        <v>33</v>
      </c>
      <c r="L23" s="2" t="s">
        <v>336</v>
      </c>
      <c r="M23" s="2" t="s">
        <v>352</v>
      </c>
    </row>
    <row r="24" spans="1:13" ht="96">
      <c r="A24" s="9" t="s">
        <v>257</v>
      </c>
      <c r="B24" s="9" t="s">
        <v>353</v>
      </c>
      <c r="C24" s="7">
        <v>3</v>
      </c>
      <c r="D24" s="7">
        <v>3</v>
      </c>
      <c r="E24" s="7">
        <v>3</v>
      </c>
      <c r="F24" s="7">
        <v>2</v>
      </c>
      <c r="G24" s="8">
        <f t="shared" si="0"/>
        <v>55</v>
      </c>
      <c r="H24" s="2" t="s">
        <v>54</v>
      </c>
      <c r="I24" s="2" t="s">
        <v>47</v>
      </c>
      <c r="J24" s="2" t="s">
        <v>40</v>
      </c>
      <c r="K24" s="2" t="s">
        <v>33</v>
      </c>
      <c r="L24" s="2" t="s">
        <v>56</v>
      </c>
      <c r="M24" s="2" t="s">
        <v>354</v>
      </c>
    </row>
    <row r="25" spans="1:13" ht="80">
      <c r="A25" s="9" t="s">
        <v>259</v>
      </c>
      <c r="B25" s="9" t="s">
        <v>355</v>
      </c>
      <c r="C25" s="7">
        <v>3.5</v>
      </c>
      <c r="D25" s="7">
        <v>4</v>
      </c>
      <c r="E25" s="7">
        <v>4</v>
      </c>
      <c r="F25" s="7">
        <v>4</v>
      </c>
      <c r="G25" s="8">
        <f t="shared" si="0"/>
        <v>76.5</v>
      </c>
      <c r="H25" s="2" t="s">
        <v>46</v>
      </c>
      <c r="I25" s="2" t="s">
        <v>31</v>
      </c>
      <c r="J25" s="2" t="s">
        <v>48</v>
      </c>
      <c r="K25" s="2" t="s">
        <v>33</v>
      </c>
      <c r="L25" s="2" t="s">
        <v>42</v>
      </c>
      <c r="M25" s="2" t="s">
        <v>356</v>
      </c>
    </row>
    <row r="26" spans="1:13" ht="96">
      <c r="A26" s="9" t="s">
        <v>261</v>
      </c>
      <c r="B26" s="9" t="s">
        <v>357</v>
      </c>
      <c r="C26" s="7">
        <v>3.5</v>
      </c>
      <c r="D26" s="7">
        <v>4</v>
      </c>
      <c r="E26" s="7">
        <v>3</v>
      </c>
      <c r="F26" s="7">
        <v>3</v>
      </c>
      <c r="G26" s="8">
        <f t="shared" si="0"/>
        <v>66.5</v>
      </c>
      <c r="H26" s="2" t="s">
        <v>54</v>
      </c>
      <c r="I26" s="2" t="s">
        <v>39</v>
      </c>
      <c r="J26" s="2" t="s">
        <v>40</v>
      </c>
      <c r="K26" s="2" t="s">
        <v>33</v>
      </c>
      <c r="L26" s="2" t="s">
        <v>50</v>
      </c>
      <c r="M26" s="2" t="s">
        <v>358</v>
      </c>
    </row>
    <row r="27" spans="1:13" ht="80">
      <c r="A27" s="9" t="s">
        <v>263</v>
      </c>
      <c r="B27" s="9" t="s">
        <v>359</v>
      </c>
      <c r="C27" s="7">
        <v>4</v>
      </c>
      <c r="D27" s="7">
        <v>4</v>
      </c>
      <c r="E27" s="7">
        <v>4</v>
      </c>
      <c r="F27" s="7">
        <v>3</v>
      </c>
      <c r="G27" s="8">
        <f t="shared" si="0"/>
        <v>75</v>
      </c>
      <c r="H27" s="2" t="s">
        <v>54</v>
      </c>
      <c r="I27" s="2" t="s">
        <v>39</v>
      </c>
      <c r="J27" s="2" t="s">
        <v>40</v>
      </c>
      <c r="K27" s="2" t="s">
        <v>33</v>
      </c>
      <c r="L27" s="2" t="s">
        <v>42</v>
      </c>
      <c r="M27" s="2" t="s">
        <v>360</v>
      </c>
    </row>
    <row r="28" spans="1:13" ht="80">
      <c r="A28" s="9" t="s">
        <v>166</v>
      </c>
      <c r="B28" s="9" t="s">
        <v>167</v>
      </c>
      <c r="C28" s="7">
        <v>3</v>
      </c>
      <c r="D28" s="7">
        <v>3</v>
      </c>
      <c r="E28" s="7">
        <v>2</v>
      </c>
      <c r="F28" s="7">
        <v>3</v>
      </c>
      <c r="G28" s="8">
        <f t="shared" si="0"/>
        <v>55</v>
      </c>
      <c r="H28" s="2" t="s">
        <v>59</v>
      </c>
      <c r="I28" s="2" t="s">
        <v>55</v>
      </c>
      <c r="J28" s="2" t="s">
        <v>40</v>
      </c>
      <c r="K28" s="2" t="s">
        <v>33</v>
      </c>
      <c r="L28" s="2" t="s">
        <v>56</v>
      </c>
      <c r="M28" s="2" t="s">
        <v>361</v>
      </c>
    </row>
    <row r="29" spans="1:13" ht="80">
      <c r="A29" s="9" t="s">
        <v>108</v>
      </c>
      <c r="B29" s="9" t="s">
        <v>362</v>
      </c>
      <c r="C29" s="7">
        <v>3</v>
      </c>
      <c r="D29" s="7">
        <v>3</v>
      </c>
      <c r="E29" s="7">
        <v>3.5</v>
      </c>
      <c r="F29" s="7">
        <v>2.5</v>
      </c>
      <c r="G29" s="8">
        <f t="shared" si="0"/>
        <v>60</v>
      </c>
      <c r="H29" s="2" t="s">
        <v>54</v>
      </c>
      <c r="I29" s="2" t="s">
        <v>47</v>
      </c>
      <c r="J29" s="2" t="s">
        <v>40</v>
      </c>
      <c r="K29" s="2" t="s">
        <v>33</v>
      </c>
      <c r="L29" s="2" t="s">
        <v>50</v>
      </c>
      <c r="M29" s="2" t="s">
        <v>363</v>
      </c>
    </row>
    <row r="30" spans="1:13" ht="80">
      <c r="A30" s="9" t="s">
        <v>267</v>
      </c>
      <c r="B30" s="9" t="s">
        <v>364</v>
      </c>
      <c r="C30" s="7">
        <v>3.5</v>
      </c>
      <c r="D30" s="7">
        <v>4</v>
      </c>
      <c r="E30" s="7">
        <v>2.5</v>
      </c>
      <c r="F30" s="7">
        <v>4</v>
      </c>
      <c r="G30" s="8">
        <f t="shared" si="0"/>
        <v>69</v>
      </c>
      <c r="H30" s="2" t="s">
        <v>46</v>
      </c>
      <c r="I30" s="2" t="s">
        <v>31</v>
      </c>
      <c r="J30" s="2" t="s">
        <v>40</v>
      </c>
      <c r="K30" s="2" t="s">
        <v>33</v>
      </c>
      <c r="L30" s="2" t="s">
        <v>50</v>
      </c>
      <c r="M30" s="2" t="s">
        <v>365</v>
      </c>
    </row>
    <row r="31" spans="1:13" ht="96">
      <c r="A31" s="9" t="s">
        <v>110</v>
      </c>
      <c r="B31" s="9" t="s">
        <v>133</v>
      </c>
      <c r="C31" s="7">
        <v>2</v>
      </c>
      <c r="D31" s="7">
        <v>3</v>
      </c>
      <c r="E31" s="7">
        <v>2</v>
      </c>
      <c r="F31" s="7">
        <v>1</v>
      </c>
      <c r="G31" s="8">
        <f t="shared" si="0"/>
        <v>38</v>
      </c>
      <c r="H31" s="2" t="s">
        <v>59</v>
      </c>
      <c r="I31" s="2" t="s">
        <v>55</v>
      </c>
      <c r="J31" s="2" t="s">
        <v>32</v>
      </c>
      <c r="K31" s="2" t="s">
        <v>33</v>
      </c>
      <c r="L31" s="2" t="s">
        <v>60</v>
      </c>
      <c r="M31" s="2" t="s">
        <v>366</v>
      </c>
    </row>
    <row r="32" spans="1:13" ht="80">
      <c r="A32" s="9" t="s">
        <v>180</v>
      </c>
      <c r="B32" s="9" t="s">
        <v>181</v>
      </c>
      <c r="C32" s="7">
        <v>4</v>
      </c>
      <c r="D32" s="7">
        <v>3</v>
      </c>
      <c r="E32" s="7">
        <v>3</v>
      </c>
      <c r="F32" s="7">
        <v>3</v>
      </c>
      <c r="G32" s="8">
        <f t="shared" si="0"/>
        <v>67</v>
      </c>
      <c r="H32" s="2" t="s">
        <v>59</v>
      </c>
      <c r="I32" s="2" t="s">
        <v>55</v>
      </c>
      <c r="J32" s="2" t="s">
        <v>32</v>
      </c>
      <c r="K32" s="2" t="s">
        <v>33</v>
      </c>
      <c r="L32" s="2" t="s">
        <v>50</v>
      </c>
      <c r="M32" s="2" t="s">
        <v>367</v>
      </c>
    </row>
    <row r="33" spans="1:13" ht="112">
      <c r="A33" s="9" t="s">
        <v>171</v>
      </c>
      <c r="B33" s="9" t="s">
        <v>172</v>
      </c>
      <c r="C33" s="7">
        <v>2</v>
      </c>
      <c r="D33" s="7">
        <v>1.5</v>
      </c>
      <c r="E33" s="7">
        <v>1.5</v>
      </c>
      <c r="F33" s="7">
        <v>2.5</v>
      </c>
      <c r="G33" s="8">
        <f t="shared" si="0"/>
        <v>38.5</v>
      </c>
      <c r="H33" s="2" t="s">
        <v>59</v>
      </c>
      <c r="I33" s="2" t="s">
        <v>55</v>
      </c>
      <c r="J33" s="2" t="s">
        <v>32</v>
      </c>
      <c r="K33" s="2" t="s">
        <v>33</v>
      </c>
      <c r="L33" s="2" t="s">
        <v>60</v>
      </c>
      <c r="M33" s="2" t="s">
        <v>368</v>
      </c>
    </row>
    <row r="34" spans="1:13" ht="96">
      <c r="A34" s="9" t="s">
        <v>272</v>
      </c>
      <c r="B34" s="9" t="s">
        <v>369</v>
      </c>
      <c r="C34" s="7">
        <v>3</v>
      </c>
      <c r="D34" s="7">
        <v>3</v>
      </c>
      <c r="E34" s="7">
        <v>2.5</v>
      </c>
      <c r="F34" s="7">
        <v>1</v>
      </c>
      <c r="G34" s="8">
        <f t="shared" ref="G34:G51" si="1">ROUND(20*(0.35*C34+0.15*D34+0.25*E34+0.25*F34),1)</f>
        <v>47.5</v>
      </c>
      <c r="H34" s="2" t="s">
        <v>59</v>
      </c>
      <c r="I34" s="2" t="s">
        <v>55</v>
      </c>
      <c r="J34" s="2" t="s">
        <v>32</v>
      </c>
      <c r="K34" s="2" t="s">
        <v>33</v>
      </c>
      <c r="L34" s="2" t="s">
        <v>370</v>
      </c>
      <c r="M34" s="2" t="s">
        <v>371</v>
      </c>
    </row>
    <row r="35" spans="1:13" ht="80">
      <c r="A35" s="9" t="s">
        <v>274</v>
      </c>
      <c r="B35" s="9" t="s">
        <v>372</v>
      </c>
      <c r="C35" s="7">
        <v>4</v>
      </c>
      <c r="D35" s="7">
        <v>4</v>
      </c>
      <c r="E35" s="7">
        <v>4.5</v>
      </c>
      <c r="F35" s="7">
        <v>4</v>
      </c>
      <c r="G35" s="8">
        <f t="shared" si="1"/>
        <v>82.5</v>
      </c>
      <c r="H35" s="2" t="s">
        <v>46</v>
      </c>
      <c r="I35" s="2" t="s">
        <v>39</v>
      </c>
      <c r="J35" s="2" t="s">
        <v>40</v>
      </c>
      <c r="K35" s="2" t="s">
        <v>33</v>
      </c>
      <c r="L35" s="2" t="s">
        <v>34</v>
      </c>
      <c r="M35" s="2" t="s">
        <v>373</v>
      </c>
    </row>
    <row r="36" spans="1:13" ht="80">
      <c r="A36" s="9" t="s">
        <v>101</v>
      </c>
      <c r="B36" s="9" t="s">
        <v>374</v>
      </c>
      <c r="C36" s="7">
        <v>3</v>
      </c>
      <c r="D36" s="7">
        <v>4</v>
      </c>
      <c r="E36" s="7">
        <v>2.5</v>
      </c>
      <c r="F36" s="7">
        <v>1.5</v>
      </c>
      <c r="G36" s="8">
        <f t="shared" si="1"/>
        <v>53</v>
      </c>
      <c r="H36" s="2" t="s">
        <v>59</v>
      </c>
      <c r="I36" s="2" t="s">
        <v>55</v>
      </c>
      <c r="J36" s="2" t="s">
        <v>32</v>
      </c>
      <c r="K36" s="2" t="s">
        <v>33</v>
      </c>
      <c r="L36" s="2" t="s">
        <v>56</v>
      </c>
      <c r="M36" s="2" t="s">
        <v>375</v>
      </c>
    </row>
    <row r="37" spans="1:13" ht="96">
      <c r="A37" s="9" t="s">
        <v>277</v>
      </c>
      <c r="B37" s="9" t="s">
        <v>376</v>
      </c>
      <c r="C37" s="7">
        <v>2.5</v>
      </c>
      <c r="D37" s="7">
        <v>2</v>
      </c>
      <c r="E37" s="7">
        <v>3.5</v>
      </c>
      <c r="F37" s="7">
        <v>3</v>
      </c>
      <c r="G37" s="8">
        <f t="shared" si="1"/>
        <v>56</v>
      </c>
      <c r="H37" s="2" t="s">
        <v>54</v>
      </c>
      <c r="I37" s="2" t="s">
        <v>47</v>
      </c>
      <c r="J37" s="2" t="s">
        <v>32</v>
      </c>
      <c r="K37" s="2" t="s">
        <v>33</v>
      </c>
      <c r="L37" s="2" t="s">
        <v>336</v>
      </c>
      <c r="M37" s="2" t="s">
        <v>377</v>
      </c>
    </row>
    <row r="38" spans="1:13" ht="80">
      <c r="A38" s="9" t="s">
        <v>105</v>
      </c>
      <c r="B38" s="9" t="s">
        <v>194</v>
      </c>
      <c r="C38" s="7">
        <v>1.5</v>
      </c>
      <c r="D38" s="7">
        <v>2</v>
      </c>
      <c r="E38" s="7">
        <v>2</v>
      </c>
      <c r="F38" s="7">
        <v>2</v>
      </c>
      <c r="G38" s="8">
        <f t="shared" si="1"/>
        <v>36.5</v>
      </c>
      <c r="H38" s="2" t="s">
        <v>54</v>
      </c>
      <c r="I38" s="2" t="s">
        <v>55</v>
      </c>
      <c r="J38" s="2" t="s">
        <v>32</v>
      </c>
      <c r="K38" s="2" t="s">
        <v>33</v>
      </c>
      <c r="L38" s="2" t="s">
        <v>370</v>
      </c>
      <c r="M38" s="2" t="s">
        <v>378</v>
      </c>
    </row>
    <row r="39" spans="1:13" ht="96">
      <c r="A39" s="9" t="s">
        <v>147</v>
      </c>
      <c r="B39" s="9" t="s">
        <v>148</v>
      </c>
      <c r="C39" s="7">
        <v>1.5</v>
      </c>
      <c r="D39" s="7">
        <v>2.5</v>
      </c>
      <c r="E39" s="7">
        <v>2</v>
      </c>
      <c r="F39" s="7">
        <v>2.5</v>
      </c>
      <c r="G39" s="8">
        <f t="shared" si="1"/>
        <v>40.5</v>
      </c>
      <c r="H39" s="2" t="s">
        <v>59</v>
      </c>
      <c r="I39" s="2" t="s">
        <v>55</v>
      </c>
      <c r="J39" s="2" t="s">
        <v>32</v>
      </c>
      <c r="K39" s="2" t="s">
        <v>33</v>
      </c>
      <c r="L39" s="2" t="s">
        <v>60</v>
      </c>
      <c r="M39" s="2" t="s">
        <v>379</v>
      </c>
    </row>
    <row r="40" spans="1:13" ht="112">
      <c r="A40" s="9" t="s">
        <v>281</v>
      </c>
      <c r="B40" s="9" t="s">
        <v>380</v>
      </c>
      <c r="C40" s="7">
        <v>3.5</v>
      </c>
      <c r="D40" s="7">
        <v>4</v>
      </c>
      <c r="E40" s="7">
        <v>3</v>
      </c>
      <c r="F40" s="7">
        <v>2.5</v>
      </c>
      <c r="G40" s="8">
        <f t="shared" si="1"/>
        <v>64</v>
      </c>
      <c r="H40" s="2" t="s">
        <v>46</v>
      </c>
      <c r="I40" s="2" t="s">
        <v>39</v>
      </c>
      <c r="J40" s="2" t="s">
        <v>48</v>
      </c>
      <c r="K40" s="2" t="s">
        <v>33</v>
      </c>
      <c r="L40" s="2" t="s">
        <v>50</v>
      </c>
      <c r="M40" s="2" t="s">
        <v>381</v>
      </c>
    </row>
    <row r="41" spans="1:13" ht="96">
      <c r="A41" s="9" t="s">
        <v>283</v>
      </c>
      <c r="B41" s="9" t="s">
        <v>382</v>
      </c>
      <c r="C41" s="7">
        <v>3.5</v>
      </c>
      <c r="D41" s="7">
        <v>4</v>
      </c>
      <c r="E41" s="7">
        <v>4</v>
      </c>
      <c r="F41" s="7">
        <v>3</v>
      </c>
      <c r="G41" s="8">
        <f t="shared" si="1"/>
        <v>71.5</v>
      </c>
      <c r="H41" s="2" t="s">
        <v>46</v>
      </c>
      <c r="I41" s="2" t="s">
        <v>39</v>
      </c>
      <c r="J41" s="2" t="s">
        <v>40</v>
      </c>
      <c r="K41" s="2" t="s">
        <v>33</v>
      </c>
      <c r="L41" s="2" t="s">
        <v>50</v>
      </c>
      <c r="M41" s="2" t="s">
        <v>383</v>
      </c>
    </row>
    <row r="42" spans="1:13" ht="96">
      <c r="A42" s="9" t="s">
        <v>285</v>
      </c>
      <c r="B42" s="9" t="s">
        <v>384</v>
      </c>
      <c r="C42" s="7">
        <v>3</v>
      </c>
      <c r="D42" s="7">
        <v>2.5</v>
      </c>
      <c r="E42" s="7">
        <v>2.5</v>
      </c>
      <c r="F42" s="7">
        <v>3</v>
      </c>
      <c r="G42" s="8">
        <f t="shared" si="1"/>
        <v>56</v>
      </c>
      <c r="H42" s="2" t="s">
        <v>54</v>
      </c>
      <c r="I42" s="2" t="s">
        <v>47</v>
      </c>
      <c r="J42" s="2" t="s">
        <v>40</v>
      </c>
      <c r="K42" s="2" t="s">
        <v>33</v>
      </c>
      <c r="L42" s="2" t="s">
        <v>56</v>
      </c>
      <c r="M42" s="2" t="s">
        <v>385</v>
      </c>
    </row>
    <row r="43" spans="1:13" ht="96">
      <c r="A43" s="9" t="s">
        <v>287</v>
      </c>
      <c r="B43" s="9" t="s">
        <v>386</v>
      </c>
      <c r="C43" s="7">
        <v>3.5</v>
      </c>
      <c r="D43" s="7">
        <v>3.5</v>
      </c>
      <c r="E43" s="7">
        <v>3.5</v>
      </c>
      <c r="F43" s="7">
        <v>1.5</v>
      </c>
      <c r="G43" s="8">
        <f t="shared" si="1"/>
        <v>60</v>
      </c>
      <c r="H43" s="2" t="s">
        <v>54</v>
      </c>
      <c r="I43" s="2" t="s">
        <v>47</v>
      </c>
      <c r="J43" s="2" t="s">
        <v>40</v>
      </c>
      <c r="K43" s="2" t="s">
        <v>33</v>
      </c>
      <c r="L43" s="2" t="s">
        <v>336</v>
      </c>
      <c r="M43" s="2" t="s">
        <v>387</v>
      </c>
    </row>
    <row r="44" spans="1:13" ht="96">
      <c r="A44" s="9" t="s">
        <v>95</v>
      </c>
      <c r="B44" s="9" t="s">
        <v>158</v>
      </c>
      <c r="C44" s="7">
        <v>3</v>
      </c>
      <c r="D44" s="7">
        <v>3.5</v>
      </c>
      <c r="E44" s="7">
        <v>3</v>
      </c>
      <c r="F44" s="7">
        <v>4</v>
      </c>
      <c r="G44" s="8">
        <f t="shared" si="1"/>
        <v>66.5</v>
      </c>
      <c r="H44" s="2" t="s">
        <v>59</v>
      </c>
      <c r="I44" s="2" t="s">
        <v>55</v>
      </c>
      <c r="J44" s="2" t="s">
        <v>32</v>
      </c>
      <c r="K44" s="2" t="s">
        <v>33</v>
      </c>
      <c r="L44" s="2" t="s">
        <v>50</v>
      </c>
      <c r="M44" s="2" t="s">
        <v>388</v>
      </c>
    </row>
    <row r="45" spans="1:13" ht="96">
      <c r="A45" s="9" t="s">
        <v>290</v>
      </c>
      <c r="B45" s="9" t="s">
        <v>389</v>
      </c>
      <c r="C45" s="7">
        <v>4</v>
      </c>
      <c r="D45" s="7">
        <v>2.5</v>
      </c>
      <c r="E45" s="7">
        <v>3</v>
      </c>
      <c r="F45" s="7">
        <v>3.5</v>
      </c>
      <c r="G45" s="8">
        <f t="shared" si="1"/>
        <v>68</v>
      </c>
      <c r="H45" s="2" t="s">
        <v>59</v>
      </c>
      <c r="I45" s="2" t="s">
        <v>55</v>
      </c>
      <c r="J45" s="2" t="s">
        <v>32</v>
      </c>
      <c r="K45" s="2" t="s">
        <v>33</v>
      </c>
      <c r="L45" s="2" t="s">
        <v>50</v>
      </c>
      <c r="M45" s="2" t="s">
        <v>390</v>
      </c>
    </row>
    <row r="46" spans="1:13" ht="96">
      <c r="A46" s="9" t="s">
        <v>292</v>
      </c>
      <c r="B46" s="9" t="s">
        <v>391</v>
      </c>
      <c r="C46" s="7">
        <v>3</v>
      </c>
      <c r="D46" s="7">
        <v>3.5</v>
      </c>
      <c r="E46" s="7">
        <v>3</v>
      </c>
      <c r="F46" s="7">
        <v>4</v>
      </c>
      <c r="G46" s="8">
        <f t="shared" si="1"/>
        <v>66.5</v>
      </c>
      <c r="H46" s="2" t="s">
        <v>46</v>
      </c>
      <c r="I46" s="2" t="s">
        <v>39</v>
      </c>
      <c r="J46" s="2" t="s">
        <v>40</v>
      </c>
      <c r="K46" s="2" t="s">
        <v>33</v>
      </c>
      <c r="L46" s="2" t="s">
        <v>50</v>
      </c>
      <c r="M46" s="2" t="s">
        <v>392</v>
      </c>
    </row>
    <row r="47" spans="1:13" ht="96">
      <c r="A47" s="9" t="s">
        <v>90</v>
      </c>
      <c r="B47" s="9" t="s">
        <v>162</v>
      </c>
      <c r="C47" s="7">
        <v>2.5</v>
      </c>
      <c r="D47" s="7">
        <v>3</v>
      </c>
      <c r="E47" s="7">
        <v>3</v>
      </c>
      <c r="F47" s="7">
        <v>2</v>
      </c>
      <c r="G47" s="8">
        <f t="shared" si="1"/>
        <v>51.5</v>
      </c>
      <c r="H47" s="2" t="s">
        <v>54</v>
      </c>
      <c r="I47" s="2" t="s">
        <v>47</v>
      </c>
      <c r="J47" s="2" t="s">
        <v>32</v>
      </c>
      <c r="K47" s="2" t="s">
        <v>33</v>
      </c>
      <c r="L47" s="2" t="s">
        <v>336</v>
      </c>
      <c r="M47" s="2" t="s">
        <v>393</v>
      </c>
    </row>
    <row r="48" spans="1:13" ht="96">
      <c r="A48" s="9" t="s">
        <v>295</v>
      </c>
      <c r="B48" s="9" t="s">
        <v>394</v>
      </c>
      <c r="C48" s="7">
        <v>2</v>
      </c>
      <c r="D48" s="7">
        <v>2</v>
      </c>
      <c r="E48" s="7">
        <v>2.5</v>
      </c>
      <c r="F48" s="7">
        <v>2</v>
      </c>
      <c r="G48" s="8">
        <f t="shared" si="1"/>
        <v>42.5</v>
      </c>
      <c r="H48" s="2" t="s">
        <v>54</v>
      </c>
      <c r="I48" s="2" t="s">
        <v>55</v>
      </c>
      <c r="J48" s="2" t="s">
        <v>32</v>
      </c>
      <c r="K48" s="2" t="s">
        <v>33</v>
      </c>
      <c r="L48" s="2" t="s">
        <v>56</v>
      </c>
      <c r="M48" s="2" t="s">
        <v>395</v>
      </c>
    </row>
    <row r="49" spans="1:13" ht="112">
      <c r="A49" s="9" t="s">
        <v>297</v>
      </c>
      <c r="B49" s="9" t="s">
        <v>396</v>
      </c>
      <c r="C49" s="7">
        <v>4</v>
      </c>
      <c r="D49" s="7">
        <v>4</v>
      </c>
      <c r="E49" s="7">
        <v>4.5</v>
      </c>
      <c r="F49" s="7">
        <v>4</v>
      </c>
      <c r="G49" s="8">
        <f t="shared" si="1"/>
        <v>82.5</v>
      </c>
      <c r="H49" s="2" t="s">
        <v>46</v>
      </c>
      <c r="I49" s="2" t="s">
        <v>31</v>
      </c>
      <c r="J49" s="2" t="s">
        <v>40</v>
      </c>
      <c r="K49" s="2" t="s">
        <v>33</v>
      </c>
      <c r="L49" s="2" t="s">
        <v>34</v>
      </c>
      <c r="M49" s="2" t="s">
        <v>397</v>
      </c>
    </row>
    <row r="50" spans="1:13" ht="96">
      <c r="A50" s="9" t="s">
        <v>299</v>
      </c>
      <c r="B50" s="9" t="s">
        <v>398</v>
      </c>
      <c r="C50" s="7">
        <v>2</v>
      </c>
      <c r="D50" s="7">
        <v>4</v>
      </c>
      <c r="E50" s="7">
        <v>4</v>
      </c>
      <c r="F50" s="7">
        <v>1.5</v>
      </c>
      <c r="G50" s="8">
        <f t="shared" si="1"/>
        <v>53.5</v>
      </c>
      <c r="H50" s="2" t="s">
        <v>59</v>
      </c>
      <c r="I50" s="2" t="s">
        <v>55</v>
      </c>
      <c r="J50" s="2" t="s">
        <v>32</v>
      </c>
      <c r="K50" s="2" t="s">
        <v>33</v>
      </c>
      <c r="L50" s="2" t="s">
        <v>336</v>
      </c>
      <c r="M50" s="2" t="s">
        <v>399</v>
      </c>
    </row>
    <row r="51" spans="1:13" ht="112">
      <c r="A51" s="9" t="s">
        <v>189</v>
      </c>
      <c r="B51" s="9" t="s">
        <v>190</v>
      </c>
      <c r="C51" s="7">
        <v>4.5</v>
      </c>
      <c r="D51" s="7">
        <v>4</v>
      </c>
      <c r="E51" s="7">
        <v>4.5</v>
      </c>
      <c r="F51" s="7">
        <v>4.5</v>
      </c>
      <c r="G51" s="8">
        <f t="shared" si="1"/>
        <v>88.5</v>
      </c>
      <c r="H51" s="2" t="s">
        <v>54</v>
      </c>
      <c r="I51" s="2" t="s">
        <v>47</v>
      </c>
      <c r="J51" s="2" t="s">
        <v>32</v>
      </c>
      <c r="K51" s="2" t="s">
        <v>33</v>
      </c>
      <c r="L51" s="2" t="s">
        <v>34</v>
      </c>
      <c r="M51" s="2" t="s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topLeftCell="C1" workbookViewId="0">
      <pane ySplit="1" topLeftCell="A2" activePane="bottomLeft" state="frozen"/>
      <selection pane="bottomLeft" activeCell="A24" sqref="A23:A24"/>
    </sheetView>
  </sheetViews>
  <sheetFormatPr baseColWidth="10" defaultColWidth="8.83203125" defaultRowHeight="15"/>
  <cols>
    <col min="1" max="1" width="23" customWidth="1"/>
    <col min="2" max="2" width="19" customWidth="1"/>
    <col min="3" max="6" width="24" customWidth="1"/>
    <col min="7" max="7" width="18" customWidth="1"/>
    <col min="8" max="16" width="22" customWidth="1"/>
  </cols>
  <sheetData>
    <row r="1" spans="1:16" ht="30" customHeight="1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/>
      <c r="J1" s="6"/>
      <c r="K1" s="6"/>
      <c r="L1" s="6"/>
      <c r="M1" s="6"/>
      <c r="N1" s="6"/>
      <c r="O1" s="6"/>
      <c r="P1" s="6"/>
    </row>
    <row r="2" spans="1:16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</row>
    <row r="3" spans="1:16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</row>
    <row r="4" spans="1:16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</row>
    <row r="5" spans="1:16">
      <c r="A5" t="s">
        <v>54</v>
      </c>
      <c r="B5" t="s">
        <v>55</v>
      </c>
      <c r="E5" t="s">
        <v>56</v>
      </c>
      <c r="F5" t="s">
        <v>57</v>
      </c>
      <c r="G5" t="s">
        <v>58</v>
      </c>
    </row>
    <row r="6" spans="1:16">
      <c r="A6" t="s">
        <v>59</v>
      </c>
      <c r="E6" t="s">
        <v>60</v>
      </c>
      <c r="G6" t="s">
        <v>61</v>
      </c>
    </row>
    <row r="7" spans="1:16">
      <c r="G7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3" customWidth="1"/>
    <col min="2" max="2" width="27" customWidth="1"/>
    <col min="3" max="6" width="24" customWidth="1"/>
    <col min="7" max="7" width="18" customWidth="1"/>
    <col min="8" max="16" width="22" customWidth="1"/>
    <col min="17" max="17" width="14" customWidth="1"/>
    <col min="18" max="18" width="12" customWidth="1"/>
    <col min="19" max="19" width="46" customWidth="1"/>
    <col min="20" max="20" width="18" customWidth="1"/>
    <col min="21" max="21" width="38" customWidth="1"/>
    <col min="22" max="22" width="30" customWidth="1"/>
  </cols>
  <sheetData>
    <row r="1" spans="1:22" ht="30" customHeight="1">
      <c r="A1" s="6" t="s">
        <v>63</v>
      </c>
      <c r="B1" s="6" t="s">
        <v>64</v>
      </c>
      <c r="C1" s="6" t="s">
        <v>65</v>
      </c>
      <c r="D1" s="6" t="s">
        <v>29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  <c r="K1" s="6" t="s">
        <v>72</v>
      </c>
      <c r="L1" s="6" t="s">
        <v>73</v>
      </c>
      <c r="M1" s="6" t="s">
        <v>74</v>
      </c>
      <c r="N1" s="6" t="s">
        <v>75</v>
      </c>
      <c r="O1" s="6" t="s">
        <v>76</v>
      </c>
      <c r="P1" s="6" t="s">
        <v>77</v>
      </c>
      <c r="Q1" s="1" t="s">
        <v>78</v>
      </c>
      <c r="R1" s="1" t="s">
        <v>24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 ht="64">
      <c r="A2" s="2" t="s">
        <v>83</v>
      </c>
      <c r="B2" s="2" t="s">
        <v>84</v>
      </c>
      <c r="C2" s="2"/>
      <c r="D2" s="2" t="s">
        <v>37</v>
      </c>
      <c r="E2" s="2" t="s">
        <v>85</v>
      </c>
      <c r="F2" s="2">
        <v>1</v>
      </c>
      <c r="G2" s="2">
        <v>41</v>
      </c>
      <c r="H2" s="2">
        <v>3.5</v>
      </c>
      <c r="I2" s="2">
        <v>2.5</v>
      </c>
      <c r="J2" s="2">
        <v>5</v>
      </c>
      <c r="K2" s="2">
        <f t="shared" ref="K2:K14" si="0">IF(COUNTA(H2:J2)=3,H2*40%+I2*50%+J2*10%,"")</f>
        <v>3.1500000000000004</v>
      </c>
      <c r="L2" s="2">
        <f t="shared" ref="L2:L14" si="1">IF(K2="","",MROUND(K2,0.5))</f>
        <v>3</v>
      </c>
      <c r="M2" s="2">
        <v>4</v>
      </c>
      <c r="N2" s="2">
        <v>239</v>
      </c>
      <c r="O2" s="2">
        <v>32</v>
      </c>
      <c r="P2" s="2" t="s">
        <v>86</v>
      </c>
      <c r="Q2" s="3">
        <v>46277</v>
      </c>
      <c r="R2" s="2" t="s">
        <v>32</v>
      </c>
      <c r="S2" s="2" t="s">
        <v>87</v>
      </c>
      <c r="T2" s="2" t="s">
        <v>88</v>
      </c>
      <c r="U2" s="2" t="s">
        <v>89</v>
      </c>
      <c r="V2" s="2"/>
    </row>
    <row r="3" spans="1:22" ht="32">
      <c r="A3" s="2" t="s">
        <v>90</v>
      </c>
      <c r="B3" s="2" t="s">
        <v>91</v>
      </c>
      <c r="C3" s="2"/>
      <c r="D3" s="2" t="s">
        <v>37</v>
      </c>
      <c r="E3" s="2" t="s">
        <v>85</v>
      </c>
      <c r="F3" s="2">
        <v>1</v>
      </c>
      <c r="G3" s="2"/>
      <c r="H3" s="2"/>
      <c r="I3" s="2"/>
      <c r="J3" s="2"/>
      <c r="K3" s="2" t="str">
        <f t="shared" si="0"/>
        <v/>
      </c>
      <c r="L3" s="2" t="str">
        <f t="shared" si="1"/>
        <v/>
      </c>
      <c r="M3" s="2"/>
      <c r="N3" s="2"/>
      <c r="O3" s="2"/>
      <c r="P3" s="2"/>
      <c r="Q3" s="3"/>
      <c r="R3" s="2" t="s">
        <v>48</v>
      </c>
      <c r="S3" s="2"/>
      <c r="T3" s="2"/>
      <c r="U3" s="2"/>
      <c r="V3" s="2" t="s">
        <v>92</v>
      </c>
    </row>
    <row r="4" spans="1:22" ht="32">
      <c r="A4" s="2" t="s">
        <v>93</v>
      </c>
      <c r="B4" s="2" t="s">
        <v>94</v>
      </c>
      <c r="C4" s="2"/>
      <c r="D4" s="2" t="s">
        <v>37</v>
      </c>
      <c r="E4" s="2" t="s">
        <v>85</v>
      </c>
      <c r="F4" s="2">
        <v>1</v>
      </c>
      <c r="G4" s="2"/>
      <c r="H4" s="2"/>
      <c r="I4" s="2"/>
      <c r="J4" s="2"/>
      <c r="K4" s="2" t="str">
        <f t="shared" si="0"/>
        <v/>
      </c>
      <c r="L4" s="2" t="str">
        <f t="shared" si="1"/>
        <v/>
      </c>
      <c r="M4" s="2"/>
      <c r="N4" s="2"/>
      <c r="O4" s="2"/>
      <c r="P4" s="2"/>
      <c r="Q4" s="3"/>
      <c r="R4" s="2" t="s">
        <v>48</v>
      </c>
      <c r="S4" s="2"/>
      <c r="T4" s="2"/>
      <c r="U4" s="2"/>
      <c r="V4" s="2" t="s">
        <v>92</v>
      </c>
    </row>
    <row r="5" spans="1:22" ht="32">
      <c r="A5" s="2" t="s">
        <v>95</v>
      </c>
      <c r="B5" s="2" t="s">
        <v>96</v>
      </c>
      <c r="C5" s="2"/>
      <c r="D5" s="2" t="s">
        <v>37</v>
      </c>
      <c r="E5" s="2" t="s">
        <v>85</v>
      </c>
      <c r="F5" s="2">
        <v>1</v>
      </c>
      <c r="G5" s="2"/>
      <c r="H5" s="2"/>
      <c r="I5" s="2"/>
      <c r="J5" s="2"/>
      <c r="K5" s="2" t="str">
        <f t="shared" si="0"/>
        <v/>
      </c>
      <c r="L5" s="2" t="str">
        <f t="shared" si="1"/>
        <v/>
      </c>
      <c r="M5" s="2"/>
      <c r="N5" s="2"/>
      <c r="O5" s="2"/>
      <c r="P5" s="2"/>
      <c r="Q5" s="3"/>
      <c r="R5" s="2" t="s">
        <v>48</v>
      </c>
      <c r="S5" s="2"/>
      <c r="T5" s="2"/>
      <c r="U5" s="2"/>
      <c r="V5" s="2" t="s">
        <v>92</v>
      </c>
    </row>
    <row r="6" spans="1:22" ht="32">
      <c r="A6" s="2" t="s">
        <v>95</v>
      </c>
      <c r="B6" s="2" t="s">
        <v>97</v>
      </c>
      <c r="C6" s="2"/>
      <c r="D6" s="2" t="s">
        <v>37</v>
      </c>
      <c r="E6" s="2" t="s">
        <v>85</v>
      </c>
      <c r="F6" s="2">
        <v>1</v>
      </c>
      <c r="G6" s="2"/>
      <c r="H6" s="2"/>
      <c r="I6" s="2"/>
      <c r="J6" s="2"/>
      <c r="K6" s="2" t="str">
        <f t="shared" si="0"/>
        <v/>
      </c>
      <c r="L6" s="2" t="str">
        <f t="shared" si="1"/>
        <v/>
      </c>
      <c r="M6" s="2"/>
      <c r="N6" s="2"/>
      <c r="O6" s="2"/>
      <c r="P6" s="2"/>
      <c r="Q6" s="3"/>
      <c r="R6" s="2" t="s">
        <v>48</v>
      </c>
      <c r="S6" s="2"/>
      <c r="T6" s="2"/>
      <c r="U6" s="2"/>
      <c r="V6" s="2" t="s">
        <v>92</v>
      </c>
    </row>
    <row r="7" spans="1:22" ht="32">
      <c r="A7" s="2" t="s">
        <v>98</v>
      </c>
      <c r="B7" s="2" t="s">
        <v>99</v>
      </c>
      <c r="C7" s="2"/>
      <c r="D7" s="2" t="s">
        <v>37</v>
      </c>
      <c r="E7" s="2" t="s">
        <v>85</v>
      </c>
      <c r="F7" s="2">
        <v>1</v>
      </c>
      <c r="G7" s="2"/>
      <c r="H7" s="2"/>
      <c r="I7" s="2"/>
      <c r="J7" s="2"/>
      <c r="K7" s="2" t="str">
        <f t="shared" si="0"/>
        <v/>
      </c>
      <c r="L7" s="2" t="str">
        <f t="shared" si="1"/>
        <v/>
      </c>
      <c r="M7" s="2"/>
      <c r="N7" s="2"/>
      <c r="O7" s="2"/>
      <c r="P7" s="2"/>
      <c r="Q7" s="3"/>
      <c r="R7" s="2" t="s">
        <v>48</v>
      </c>
      <c r="S7" s="2"/>
      <c r="T7" s="2"/>
      <c r="U7" s="2"/>
      <c r="V7" s="2" t="s">
        <v>92</v>
      </c>
    </row>
    <row r="8" spans="1:22" ht="32">
      <c r="A8" s="2" t="s">
        <v>98</v>
      </c>
      <c r="B8" s="2" t="s">
        <v>100</v>
      </c>
      <c r="C8" s="2"/>
      <c r="D8" s="2" t="s">
        <v>37</v>
      </c>
      <c r="E8" s="2" t="s">
        <v>85</v>
      </c>
      <c r="F8" s="2">
        <v>1</v>
      </c>
      <c r="G8" s="2"/>
      <c r="H8" s="2"/>
      <c r="I8" s="2"/>
      <c r="J8" s="2"/>
      <c r="K8" s="2" t="str">
        <f t="shared" si="0"/>
        <v/>
      </c>
      <c r="L8" s="2" t="str">
        <f t="shared" si="1"/>
        <v/>
      </c>
      <c r="M8" s="2"/>
      <c r="N8" s="2"/>
      <c r="O8" s="2"/>
      <c r="P8" s="2"/>
      <c r="Q8" s="3"/>
      <c r="R8" s="2" t="s">
        <v>48</v>
      </c>
      <c r="S8" s="2"/>
      <c r="T8" s="2"/>
      <c r="U8" s="2"/>
      <c r="V8" s="2" t="s">
        <v>92</v>
      </c>
    </row>
    <row r="9" spans="1:22" ht="32">
      <c r="A9" s="2" t="s">
        <v>101</v>
      </c>
      <c r="B9" s="2" t="s">
        <v>102</v>
      </c>
      <c r="C9" s="2"/>
      <c r="D9" s="2" t="s">
        <v>37</v>
      </c>
      <c r="E9" s="2" t="s">
        <v>85</v>
      </c>
      <c r="F9" s="2">
        <v>1</v>
      </c>
      <c r="G9" s="2"/>
      <c r="H9" s="2"/>
      <c r="I9" s="2"/>
      <c r="J9" s="2"/>
      <c r="K9" s="2" t="str">
        <f t="shared" si="0"/>
        <v/>
      </c>
      <c r="L9" s="2" t="str">
        <f t="shared" si="1"/>
        <v/>
      </c>
      <c r="M9" s="2"/>
      <c r="N9" s="2"/>
      <c r="O9" s="2"/>
      <c r="P9" s="2"/>
      <c r="Q9" s="3"/>
      <c r="R9" s="2" t="s">
        <v>48</v>
      </c>
      <c r="S9" s="2"/>
      <c r="T9" s="2"/>
      <c r="U9" s="2"/>
      <c r="V9" s="2" t="s">
        <v>92</v>
      </c>
    </row>
    <row r="10" spans="1:22" ht="32">
      <c r="A10" s="2" t="s">
        <v>103</v>
      </c>
      <c r="B10" s="2" t="s">
        <v>104</v>
      </c>
      <c r="C10" s="2"/>
      <c r="D10" s="2" t="s">
        <v>37</v>
      </c>
      <c r="E10" s="2" t="s">
        <v>85</v>
      </c>
      <c r="F10" s="2">
        <v>1</v>
      </c>
      <c r="G10" s="2"/>
      <c r="H10" s="2"/>
      <c r="I10" s="2"/>
      <c r="J10" s="2"/>
      <c r="K10" s="2" t="str">
        <f t="shared" si="0"/>
        <v/>
      </c>
      <c r="L10" s="2" t="str">
        <f t="shared" si="1"/>
        <v/>
      </c>
      <c r="M10" s="2"/>
      <c r="N10" s="2"/>
      <c r="O10" s="2"/>
      <c r="P10" s="2"/>
      <c r="Q10" s="3"/>
      <c r="R10" s="2" t="s">
        <v>48</v>
      </c>
      <c r="S10" s="2"/>
      <c r="T10" s="2"/>
      <c r="U10" s="2"/>
      <c r="V10" s="2" t="s">
        <v>92</v>
      </c>
    </row>
    <row r="11" spans="1:22" ht="32">
      <c r="A11" s="2" t="s">
        <v>105</v>
      </c>
      <c r="B11" s="2" t="s">
        <v>106</v>
      </c>
      <c r="C11" s="2"/>
      <c r="D11" s="2" t="s">
        <v>37</v>
      </c>
      <c r="E11" s="2" t="s">
        <v>85</v>
      </c>
      <c r="F11" s="2">
        <v>1</v>
      </c>
      <c r="G11" s="2"/>
      <c r="H11" s="2"/>
      <c r="I11" s="2"/>
      <c r="J11" s="2"/>
      <c r="K11" s="2" t="str">
        <f t="shared" si="0"/>
        <v/>
      </c>
      <c r="L11" s="2" t="str">
        <f t="shared" si="1"/>
        <v/>
      </c>
      <c r="M11" s="2"/>
      <c r="N11" s="2"/>
      <c r="O11" s="2"/>
      <c r="P11" s="2"/>
      <c r="Q11" s="3"/>
      <c r="R11" s="2" t="s">
        <v>48</v>
      </c>
      <c r="S11" s="2"/>
      <c r="T11" s="2"/>
      <c r="U11" s="2"/>
      <c r="V11" s="2" t="s">
        <v>92</v>
      </c>
    </row>
    <row r="12" spans="1:22" ht="32">
      <c r="A12" s="2" t="s">
        <v>83</v>
      </c>
      <c r="B12" s="2" t="s">
        <v>107</v>
      </c>
      <c r="C12" s="2"/>
      <c r="D12" s="2" t="s">
        <v>37</v>
      </c>
      <c r="E12" s="2" t="s">
        <v>85</v>
      </c>
      <c r="F12" s="2">
        <v>1</v>
      </c>
      <c r="G12" s="2"/>
      <c r="H12" s="2"/>
      <c r="I12" s="2"/>
      <c r="J12" s="2"/>
      <c r="K12" s="2" t="str">
        <f t="shared" si="0"/>
        <v/>
      </c>
      <c r="L12" s="2" t="str">
        <f t="shared" si="1"/>
        <v/>
      </c>
      <c r="M12" s="2"/>
      <c r="N12" s="2"/>
      <c r="O12" s="2"/>
      <c r="P12" s="2"/>
      <c r="Q12" s="3"/>
      <c r="R12" s="2" t="s">
        <v>48</v>
      </c>
      <c r="S12" s="2"/>
      <c r="T12" s="2"/>
      <c r="U12" s="2"/>
      <c r="V12" s="2" t="s">
        <v>92</v>
      </c>
    </row>
    <row r="13" spans="1:22" ht="32">
      <c r="A13" s="2" t="s">
        <v>108</v>
      </c>
      <c r="B13" s="2" t="s">
        <v>109</v>
      </c>
      <c r="C13" s="2"/>
      <c r="D13" s="2" t="s">
        <v>37</v>
      </c>
      <c r="E13" s="2" t="s">
        <v>85</v>
      </c>
      <c r="F13" s="2">
        <v>1</v>
      </c>
      <c r="G13" s="2"/>
      <c r="H13" s="2"/>
      <c r="I13" s="2"/>
      <c r="J13" s="2"/>
      <c r="K13" s="2" t="str">
        <f t="shared" si="0"/>
        <v/>
      </c>
      <c r="L13" s="2" t="str">
        <f t="shared" si="1"/>
        <v/>
      </c>
      <c r="M13" s="2"/>
      <c r="N13" s="2"/>
      <c r="O13" s="2"/>
      <c r="P13" s="2"/>
      <c r="Q13" s="3"/>
      <c r="R13" s="2" t="s">
        <v>48</v>
      </c>
      <c r="S13" s="2"/>
      <c r="T13" s="2"/>
      <c r="U13" s="2"/>
      <c r="V13" s="2" t="s">
        <v>92</v>
      </c>
    </row>
    <row r="14" spans="1:22" ht="32">
      <c r="A14" s="2" t="s">
        <v>110</v>
      </c>
      <c r="B14" s="2" t="s">
        <v>111</v>
      </c>
      <c r="C14" s="2"/>
      <c r="D14" s="2" t="s">
        <v>37</v>
      </c>
      <c r="E14" s="2" t="s">
        <v>85</v>
      </c>
      <c r="F14" s="2">
        <v>1</v>
      </c>
      <c r="G14" s="2"/>
      <c r="H14" s="2"/>
      <c r="I14" s="2"/>
      <c r="J14" s="2"/>
      <c r="K14" s="2" t="str">
        <f t="shared" si="0"/>
        <v/>
      </c>
      <c r="L14" s="2" t="str">
        <f t="shared" si="1"/>
        <v/>
      </c>
      <c r="M14" s="2"/>
      <c r="N14" s="2"/>
      <c r="O14" s="2"/>
      <c r="P14" s="2"/>
      <c r="Q14" s="3"/>
      <c r="R14" s="2" t="s">
        <v>48</v>
      </c>
      <c r="S14" s="2"/>
      <c r="T14" s="2"/>
      <c r="U14" s="2"/>
      <c r="V14" s="2" t="s">
        <v>92</v>
      </c>
    </row>
    <row r="15" spans="1:22">
      <c r="Q15" s="4"/>
    </row>
    <row r="16" spans="1:22">
      <c r="Q16" s="4"/>
    </row>
    <row r="17" spans="17:17">
      <c r="Q17" s="4"/>
    </row>
    <row r="18" spans="17:17">
      <c r="Q18" s="4"/>
    </row>
    <row r="19" spans="17:17">
      <c r="Q19" s="4"/>
    </row>
    <row r="20" spans="17:17">
      <c r="Q20" s="4"/>
    </row>
    <row r="21" spans="17:17">
      <c r="Q21" s="4"/>
    </row>
    <row r="22" spans="17:17">
      <c r="Q22" s="4"/>
    </row>
    <row r="23" spans="17:17">
      <c r="Q23" s="4"/>
    </row>
    <row r="24" spans="17:17">
      <c r="Q24" s="4"/>
    </row>
    <row r="25" spans="17:17">
      <c r="Q25" s="4"/>
    </row>
    <row r="26" spans="17:17">
      <c r="Q26" s="4"/>
    </row>
    <row r="27" spans="17:17">
      <c r="Q27" s="4"/>
    </row>
    <row r="28" spans="17:17">
      <c r="Q28" s="4"/>
    </row>
    <row r="29" spans="17:17">
      <c r="Q29" s="4"/>
    </row>
    <row r="30" spans="17:17">
      <c r="Q30" s="4"/>
    </row>
    <row r="31" spans="17:17">
      <c r="Q31" s="4"/>
    </row>
    <row r="32" spans="17:17">
      <c r="Q32" s="4"/>
    </row>
    <row r="33" spans="17:17">
      <c r="Q33" s="4"/>
    </row>
    <row r="34" spans="17:17">
      <c r="Q34" s="4"/>
    </row>
    <row r="35" spans="17:17">
      <c r="Q35" s="4"/>
    </row>
    <row r="36" spans="17:17">
      <c r="Q36" s="4"/>
    </row>
    <row r="37" spans="17:17">
      <c r="Q37" s="4"/>
    </row>
    <row r="38" spans="17:17">
      <c r="Q38" s="4"/>
    </row>
    <row r="39" spans="17:17">
      <c r="Q39" s="4"/>
    </row>
    <row r="40" spans="17:17">
      <c r="Q40" s="4"/>
    </row>
    <row r="41" spans="17:17">
      <c r="Q41" s="4"/>
    </row>
    <row r="42" spans="17:17">
      <c r="Q42" s="4"/>
    </row>
    <row r="43" spans="17:17">
      <c r="Q43" s="4"/>
    </row>
    <row r="44" spans="17:17">
      <c r="Q44" s="4"/>
    </row>
    <row r="45" spans="17:17">
      <c r="Q45" s="4"/>
    </row>
    <row r="46" spans="17:17">
      <c r="Q46" s="4"/>
    </row>
    <row r="47" spans="17:17">
      <c r="Q47" s="4"/>
    </row>
    <row r="48" spans="17:17">
      <c r="Q48" s="4"/>
    </row>
    <row r="49" spans="17:17">
      <c r="Q49" s="4"/>
    </row>
    <row r="50" spans="17:17">
      <c r="Q50" s="4"/>
    </row>
    <row r="51" spans="17:17">
      <c r="Q51" s="4"/>
    </row>
    <row r="52" spans="17:17">
      <c r="Q52" s="4"/>
    </row>
    <row r="53" spans="17:17">
      <c r="Q53" s="4"/>
    </row>
    <row r="54" spans="17:17">
      <c r="Q54" s="4"/>
    </row>
    <row r="55" spans="17:17">
      <c r="Q55" s="4"/>
    </row>
    <row r="56" spans="17:17">
      <c r="Q56" s="4"/>
    </row>
    <row r="57" spans="17:17">
      <c r="Q57" s="4"/>
    </row>
    <row r="58" spans="17:17">
      <c r="Q58" s="4"/>
    </row>
    <row r="59" spans="17:17">
      <c r="Q59" s="4"/>
    </row>
    <row r="60" spans="17:17">
      <c r="Q60" s="4"/>
    </row>
    <row r="61" spans="17:17">
      <c r="Q61" s="4"/>
    </row>
    <row r="62" spans="17:17">
      <c r="Q62" s="4"/>
    </row>
    <row r="63" spans="17:17">
      <c r="Q63" s="4"/>
    </row>
    <row r="64" spans="17:17">
      <c r="Q64" s="4"/>
    </row>
    <row r="65" spans="17:17">
      <c r="Q65" s="4"/>
    </row>
    <row r="66" spans="17:17">
      <c r="Q66" s="4"/>
    </row>
    <row r="67" spans="17:17">
      <c r="Q67" s="4"/>
    </row>
    <row r="68" spans="17:17">
      <c r="Q68" s="4"/>
    </row>
    <row r="69" spans="17:17">
      <c r="Q69" s="4"/>
    </row>
    <row r="70" spans="17:17">
      <c r="Q70" s="4"/>
    </row>
    <row r="71" spans="17:17">
      <c r="Q71" s="4"/>
    </row>
    <row r="72" spans="17:17">
      <c r="Q72" s="4"/>
    </row>
    <row r="73" spans="17:17">
      <c r="Q73" s="4"/>
    </row>
    <row r="74" spans="17:17">
      <c r="Q74" s="4"/>
    </row>
    <row r="75" spans="17:17">
      <c r="Q75" s="4"/>
    </row>
    <row r="76" spans="17:17">
      <c r="Q76" s="4"/>
    </row>
    <row r="77" spans="17:17">
      <c r="Q77" s="4"/>
    </row>
    <row r="78" spans="17:17">
      <c r="Q78" s="4"/>
    </row>
    <row r="79" spans="17:17">
      <c r="Q79" s="4"/>
    </row>
    <row r="80" spans="17:17">
      <c r="Q80" s="4"/>
    </row>
    <row r="81" spans="17:17">
      <c r="Q81" s="4"/>
    </row>
    <row r="82" spans="17:17">
      <c r="Q82" s="4"/>
    </row>
    <row r="83" spans="17:17">
      <c r="Q83" s="4"/>
    </row>
    <row r="84" spans="17:17">
      <c r="Q84" s="4"/>
    </row>
    <row r="85" spans="17:17">
      <c r="Q85" s="4"/>
    </row>
    <row r="86" spans="17:17">
      <c r="Q86" s="4"/>
    </row>
    <row r="87" spans="17:17">
      <c r="Q87" s="4"/>
    </row>
    <row r="88" spans="17:17">
      <c r="Q88" s="4"/>
    </row>
    <row r="89" spans="17:17">
      <c r="Q89" s="4"/>
    </row>
    <row r="90" spans="17:17">
      <c r="Q90" s="4"/>
    </row>
    <row r="91" spans="17:17">
      <c r="Q91" s="4"/>
    </row>
    <row r="92" spans="17:17">
      <c r="Q92" s="4"/>
    </row>
    <row r="93" spans="17:17">
      <c r="Q93" s="4"/>
    </row>
    <row r="94" spans="17:17">
      <c r="Q94" s="4"/>
    </row>
    <row r="95" spans="17:17">
      <c r="Q95" s="4"/>
    </row>
    <row r="96" spans="17:17">
      <c r="Q96" s="4"/>
    </row>
    <row r="97" spans="17:17">
      <c r="Q97" s="4"/>
    </row>
    <row r="98" spans="17:17">
      <c r="Q98" s="4"/>
    </row>
    <row r="99" spans="17:17">
      <c r="Q99" s="4"/>
    </row>
    <row r="100" spans="17:17">
      <c r="Q100" s="4"/>
    </row>
  </sheetData>
  <conditionalFormatting sqref="H2:L14">
    <cfRule type="colorScale" priority="1">
      <colorScale>
        <cfvo type="min"/>
        <cfvo type="percentile" val="50"/>
        <cfvo type="max"/>
        <color rgb="FFF8D7DA"/>
        <color rgb="FFFFF3CD"/>
        <color rgb="FFD4EDDA"/>
      </colorScale>
    </cfRule>
  </conditionalFormatting>
  <dataValidations count="2">
    <dataValidation type="list" sqref="E2:E14" xr:uid="{00000000-0002-0000-0300-000000000000}">
      <formula1>"Yes,No"</formula1>
    </dataValidation>
    <dataValidation type="decimal" sqref="H2:J14" xr:uid="{00000000-0002-0000-0300-000001000000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6" customWidth="1"/>
    <col min="2" max="2" width="19" customWidth="1"/>
    <col min="3" max="3" width="24" customWidth="1"/>
    <col min="4" max="4" width="22" customWidth="1"/>
    <col min="5" max="6" width="24" customWidth="1"/>
    <col min="7" max="7" width="18" customWidth="1"/>
    <col min="8" max="16" width="22" customWidth="1"/>
    <col min="17" max="17" width="12" customWidth="1"/>
    <col min="18" max="18" width="18" customWidth="1"/>
    <col min="19" max="19" width="20" customWidth="1"/>
    <col min="20" max="20" width="28" customWidth="1"/>
    <col min="21" max="21" width="36" customWidth="1"/>
    <col min="22" max="22" width="14" customWidth="1"/>
    <col min="23" max="23" width="28" customWidth="1"/>
  </cols>
  <sheetData>
    <row r="1" spans="1:23" ht="30" customHeight="1">
      <c r="A1" s="6" t="s">
        <v>112</v>
      </c>
      <c r="B1" s="6" t="s">
        <v>113</v>
      </c>
      <c r="C1" s="6" t="s">
        <v>114</v>
      </c>
      <c r="D1" s="6" t="s">
        <v>63</v>
      </c>
      <c r="E1" s="6" t="s">
        <v>115</v>
      </c>
      <c r="F1" s="6" t="s">
        <v>116</v>
      </c>
      <c r="G1" s="6" t="s">
        <v>117</v>
      </c>
      <c r="H1" s="6" t="s">
        <v>118</v>
      </c>
      <c r="I1" s="6" t="s">
        <v>119</v>
      </c>
      <c r="J1" s="6" t="s">
        <v>120</v>
      </c>
      <c r="K1" s="6" t="s">
        <v>27</v>
      </c>
      <c r="L1" s="6" t="s">
        <v>121</v>
      </c>
      <c r="M1" s="6" t="s">
        <v>122</v>
      </c>
      <c r="N1" s="6" t="s">
        <v>123</v>
      </c>
      <c r="O1" s="6" t="s">
        <v>124</v>
      </c>
      <c r="P1" s="6" t="s">
        <v>125</v>
      </c>
      <c r="Q1" s="1" t="s">
        <v>126</v>
      </c>
      <c r="R1" s="1" t="s">
        <v>127</v>
      </c>
      <c r="S1" s="1" t="s">
        <v>80</v>
      </c>
      <c r="T1" s="1" t="s">
        <v>128</v>
      </c>
      <c r="U1" s="1" t="s">
        <v>129</v>
      </c>
      <c r="V1" s="1" t="s">
        <v>130</v>
      </c>
      <c r="W1" s="1" t="s">
        <v>82</v>
      </c>
    </row>
    <row r="2" spans="1:23" ht="96">
      <c r="A2" s="2" t="s">
        <v>131</v>
      </c>
      <c r="B2" s="3">
        <v>46261</v>
      </c>
      <c r="C2" s="2" t="s">
        <v>132</v>
      </c>
      <c r="D2" s="2" t="s">
        <v>110</v>
      </c>
      <c r="E2" s="2" t="s">
        <v>133</v>
      </c>
      <c r="F2" s="2" t="s">
        <v>63</v>
      </c>
      <c r="G2" s="2"/>
      <c r="H2" s="2" t="s">
        <v>134</v>
      </c>
      <c r="I2" s="2" t="s">
        <v>135</v>
      </c>
      <c r="J2" s="2" t="s">
        <v>36</v>
      </c>
      <c r="K2" s="2" t="s">
        <v>43</v>
      </c>
      <c r="L2" s="2" t="s">
        <v>32</v>
      </c>
      <c r="M2" s="2" t="s">
        <v>136</v>
      </c>
      <c r="N2" s="2" t="s">
        <v>137</v>
      </c>
      <c r="O2" s="2" t="s">
        <v>135</v>
      </c>
      <c r="P2" s="2"/>
      <c r="Q2" s="2" t="s">
        <v>59</v>
      </c>
      <c r="R2" s="2"/>
      <c r="S2" s="2" t="s">
        <v>138</v>
      </c>
      <c r="T2" s="2" t="s">
        <v>139</v>
      </c>
      <c r="U2" s="2"/>
      <c r="V2" s="2"/>
      <c r="W2" s="2"/>
    </row>
    <row r="3" spans="1:23" ht="128">
      <c r="A3" s="2" t="s">
        <v>140</v>
      </c>
      <c r="B3" s="3">
        <v>46260</v>
      </c>
      <c r="C3" s="2" t="s">
        <v>132</v>
      </c>
      <c r="D3" s="2" t="s">
        <v>141</v>
      </c>
      <c r="E3" s="2" t="s">
        <v>142</v>
      </c>
      <c r="F3" s="2" t="s">
        <v>63</v>
      </c>
      <c r="G3" s="2"/>
      <c r="H3" s="2" t="s">
        <v>134</v>
      </c>
      <c r="I3" s="2" t="s">
        <v>143</v>
      </c>
      <c r="J3" s="2" t="s">
        <v>36</v>
      </c>
      <c r="K3" s="2" t="s">
        <v>43</v>
      </c>
      <c r="L3" s="2" t="s">
        <v>32</v>
      </c>
      <c r="M3" s="2" t="s">
        <v>144</v>
      </c>
      <c r="N3" s="2" t="s">
        <v>145</v>
      </c>
      <c r="O3" s="2" t="s">
        <v>143</v>
      </c>
      <c r="P3" s="2"/>
      <c r="Q3" s="2" t="s">
        <v>59</v>
      </c>
      <c r="R3" s="2"/>
      <c r="S3" s="2" t="s">
        <v>138</v>
      </c>
      <c r="T3" s="2" t="s">
        <v>139</v>
      </c>
      <c r="U3" s="2"/>
      <c r="V3" s="2"/>
      <c r="W3" s="2"/>
    </row>
    <row r="4" spans="1:23" ht="112">
      <c r="A4" s="2" t="s">
        <v>146</v>
      </c>
      <c r="B4" s="3">
        <v>46252</v>
      </c>
      <c r="C4" s="2" t="s">
        <v>132</v>
      </c>
      <c r="D4" s="2" t="s">
        <v>147</v>
      </c>
      <c r="E4" s="2" t="s">
        <v>148</v>
      </c>
      <c r="F4" s="2" t="s">
        <v>63</v>
      </c>
      <c r="G4" s="2"/>
      <c r="H4" s="2" t="s">
        <v>134</v>
      </c>
      <c r="I4" s="2" t="s">
        <v>149</v>
      </c>
      <c r="J4" s="2" t="s">
        <v>36</v>
      </c>
      <c r="K4" s="2" t="s">
        <v>43</v>
      </c>
      <c r="L4" s="2" t="s">
        <v>32</v>
      </c>
      <c r="M4" s="2" t="s">
        <v>150</v>
      </c>
      <c r="N4" s="2" t="s">
        <v>151</v>
      </c>
      <c r="O4" s="2" t="s">
        <v>149</v>
      </c>
      <c r="P4" s="2"/>
      <c r="Q4" s="2" t="s">
        <v>59</v>
      </c>
      <c r="R4" s="2"/>
      <c r="S4" s="2" t="s">
        <v>138</v>
      </c>
      <c r="T4" s="2" t="s">
        <v>139</v>
      </c>
      <c r="U4" s="2"/>
      <c r="V4" s="2"/>
      <c r="W4" s="2"/>
    </row>
    <row r="5" spans="1:23" ht="96">
      <c r="A5" s="2" t="s">
        <v>152</v>
      </c>
      <c r="B5" s="3">
        <v>46240</v>
      </c>
      <c r="C5" s="2" t="s">
        <v>132</v>
      </c>
      <c r="D5" s="2" t="s">
        <v>153</v>
      </c>
      <c r="E5" s="2" t="s">
        <v>154</v>
      </c>
      <c r="F5" s="2" t="s">
        <v>63</v>
      </c>
      <c r="G5" s="2"/>
      <c r="H5" s="2" t="s">
        <v>134</v>
      </c>
      <c r="I5" s="2" t="s">
        <v>149</v>
      </c>
      <c r="J5" s="2" t="s">
        <v>36</v>
      </c>
      <c r="K5" s="2" t="s">
        <v>43</v>
      </c>
      <c r="L5" s="2" t="s">
        <v>32</v>
      </c>
      <c r="M5" s="2" t="s">
        <v>155</v>
      </c>
      <c r="N5" s="2" t="s">
        <v>156</v>
      </c>
      <c r="O5" s="2" t="s">
        <v>149</v>
      </c>
      <c r="P5" s="2"/>
      <c r="Q5" s="2" t="s">
        <v>59</v>
      </c>
      <c r="R5" s="2"/>
      <c r="S5" s="2" t="s">
        <v>138</v>
      </c>
      <c r="T5" s="2" t="s">
        <v>139</v>
      </c>
      <c r="U5" s="2"/>
      <c r="V5" s="2"/>
      <c r="W5" s="2"/>
    </row>
    <row r="6" spans="1:23" ht="128">
      <c r="A6" s="2" t="s">
        <v>157</v>
      </c>
      <c r="B6" s="3">
        <v>46237</v>
      </c>
      <c r="C6" s="2" t="s">
        <v>132</v>
      </c>
      <c r="D6" s="2" t="s">
        <v>95</v>
      </c>
      <c r="E6" s="2" t="s">
        <v>158</v>
      </c>
      <c r="F6" s="2" t="s">
        <v>63</v>
      </c>
      <c r="G6" s="2"/>
      <c r="H6" s="2" t="s">
        <v>134</v>
      </c>
      <c r="I6" s="2" t="s">
        <v>143</v>
      </c>
      <c r="J6" s="2" t="s">
        <v>36</v>
      </c>
      <c r="K6" s="2" t="s">
        <v>43</v>
      </c>
      <c r="L6" s="2" t="s">
        <v>32</v>
      </c>
      <c r="M6" s="2" t="s">
        <v>159</v>
      </c>
      <c r="N6" s="2" t="s">
        <v>160</v>
      </c>
      <c r="O6" s="2" t="s">
        <v>143</v>
      </c>
      <c r="P6" s="2"/>
      <c r="Q6" s="2" t="s">
        <v>59</v>
      </c>
      <c r="R6" s="2"/>
      <c r="S6" s="2" t="s">
        <v>138</v>
      </c>
      <c r="T6" s="2" t="s">
        <v>139</v>
      </c>
      <c r="U6" s="2"/>
      <c r="V6" s="2"/>
      <c r="W6" s="2"/>
    </row>
    <row r="7" spans="1:23" ht="112">
      <c r="A7" s="2" t="s">
        <v>161</v>
      </c>
      <c r="B7" s="3">
        <v>46234</v>
      </c>
      <c r="C7" s="2" t="s">
        <v>132</v>
      </c>
      <c r="D7" s="2" t="s">
        <v>90</v>
      </c>
      <c r="E7" s="2" t="s">
        <v>162</v>
      </c>
      <c r="F7" s="2" t="s">
        <v>63</v>
      </c>
      <c r="G7" s="2"/>
      <c r="H7" s="2" t="s">
        <v>134</v>
      </c>
      <c r="I7" s="2" t="s">
        <v>143</v>
      </c>
      <c r="J7" s="2" t="s">
        <v>36</v>
      </c>
      <c r="K7" s="2" t="s">
        <v>43</v>
      </c>
      <c r="L7" s="2" t="s">
        <v>32</v>
      </c>
      <c r="M7" s="2" t="s">
        <v>163</v>
      </c>
      <c r="N7" s="2" t="s">
        <v>164</v>
      </c>
      <c r="O7" s="2" t="s">
        <v>143</v>
      </c>
      <c r="P7" s="2"/>
      <c r="Q7" s="2" t="s">
        <v>59</v>
      </c>
      <c r="R7" s="2"/>
      <c r="S7" s="2" t="s">
        <v>138</v>
      </c>
      <c r="T7" s="2" t="s">
        <v>139</v>
      </c>
      <c r="U7" s="2"/>
      <c r="V7" s="2"/>
      <c r="W7" s="2"/>
    </row>
    <row r="8" spans="1:23" ht="80">
      <c r="A8" s="2" t="s">
        <v>165</v>
      </c>
      <c r="B8" s="3">
        <v>46224</v>
      </c>
      <c r="C8" s="2" t="s">
        <v>132</v>
      </c>
      <c r="D8" s="2" t="s">
        <v>166</v>
      </c>
      <c r="E8" s="2" t="s">
        <v>167</v>
      </c>
      <c r="F8" s="2" t="s">
        <v>63</v>
      </c>
      <c r="G8" s="2"/>
      <c r="H8" s="2" t="s">
        <v>134</v>
      </c>
      <c r="I8" s="2" t="s">
        <v>135</v>
      </c>
      <c r="J8" s="2" t="s">
        <v>36</v>
      </c>
      <c r="K8" s="2" t="s">
        <v>43</v>
      </c>
      <c r="L8" s="2" t="s">
        <v>32</v>
      </c>
      <c r="M8" s="2" t="s">
        <v>168</v>
      </c>
      <c r="N8" s="2" t="s">
        <v>169</v>
      </c>
      <c r="O8" s="2" t="s">
        <v>135</v>
      </c>
      <c r="P8" s="2"/>
      <c r="Q8" s="2" t="s">
        <v>59</v>
      </c>
      <c r="R8" s="2"/>
      <c r="S8" s="2" t="s">
        <v>138</v>
      </c>
      <c r="T8" s="2" t="s">
        <v>139</v>
      </c>
      <c r="U8" s="2"/>
      <c r="V8" s="2"/>
      <c r="W8" s="2"/>
    </row>
    <row r="9" spans="1:23" ht="96">
      <c r="A9" s="2" t="s">
        <v>170</v>
      </c>
      <c r="B9" s="3">
        <v>46217</v>
      </c>
      <c r="C9" s="2" t="s">
        <v>132</v>
      </c>
      <c r="D9" s="2" t="s">
        <v>171</v>
      </c>
      <c r="E9" s="2" t="s">
        <v>172</v>
      </c>
      <c r="F9" s="2" t="s">
        <v>63</v>
      </c>
      <c r="G9" s="2"/>
      <c r="H9" s="2" t="s">
        <v>134</v>
      </c>
      <c r="I9" s="2" t="s">
        <v>149</v>
      </c>
      <c r="J9" s="2" t="s">
        <v>36</v>
      </c>
      <c r="K9" s="2" t="s">
        <v>43</v>
      </c>
      <c r="L9" s="2" t="s">
        <v>32</v>
      </c>
      <c r="M9" s="2" t="s">
        <v>173</v>
      </c>
      <c r="N9" s="2" t="s">
        <v>174</v>
      </c>
      <c r="O9" s="2" t="s">
        <v>149</v>
      </c>
      <c r="P9" s="2"/>
      <c r="Q9" s="2" t="s">
        <v>59</v>
      </c>
      <c r="R9" s="2"/>
      <c r="S9" s="2" t="s">
        <v>138</v>
      </c>
      <c r="T9" s="2" t="s">
        <v>139</v>
      </c>
      <c r="U9" s="2"/>
      <c r="V9" s="2"/>
      <c r="W9" s="2"/>
    </row>
    <row r="10" spans="1:23" ht="80">
      <c r="A10" s="2" t="s">
        <v>175</v>
      </c>
      <c r="B10" s="3">
        <v>46371</v>
      </c>
      <c r="C10" s="2"/>
      <c r="D10" s="2" t="s">
        <v>90</v>
      </c>
      <c r="E10" s="2" t="s">
        <v>162</v>
      </c>
      <c r="F10" s="2" t="s">
        <v>63</v>
      </c>
      <c r="G10" s="2"/>
      <c r="H10" s="2" t="s">
        <v>176</v>
      </c>
      <c r="I10" s="2" t="s">
        <v>149</v>
      </c>
      <c r="J10" s="2" t="s">
        <v>61</v>
      </c>
      <c r="K10" s="2" t="s">
        <v>43</v>
      </c>
      <c r="L10" s="2" t="s">
        <v>32</v>
      </c>
      <c r="M10" s="2" t="s">
        <v>177</v>
      </c>
      <c r="N10" s="2" t="s">
        <v>178</v>
      </c>
      <c r="O10" s="2" t="s">
        <v>149</v>
      </c>
      <c r="P10" s="2"/>
      <c r="Q10" s="2" t="s">
        <v>54</v>
      </c>
      <c r="R10" s="2" t="s">
        <v>47</v>
      </c>
      <c r="S10" s="2" t="s">
        <v>138</v>
      </c>
      <c r="T10" s="2" t="s">
        <v>139</v>
      </c>
      <c r="U10" s="2"/>
      <c r="V10" s="2"/>
      <c r="W10" s="2"/>
    </row>
    <row r="11" spans="1:23" ht="112">
      <c r="A11" s="2" t="s">
        <v>179</v>
      </c>
      <c r="B11" s="3">
        <v>46406</v>
      </c>
      <c r="C11" s="2"/>
      <c r="D11" s="2" t="s">
        <v>180</v>
      </c>
      <c r="E11" s="2" t="s">
        <v>181</v>
      </c>
      <c r="F11" s="2" t="s">
        <v>63</v>
      </c>
      <c r="G11" s="2"/>
      <c r="H11" s="2" t="s">
        <v>176</v>
      </c>
      <c r="I11" s="2" t="s">
        <v>149</v>
      </c>
      <c r="J11" s="2" t="s">
        <v>61</v>
      </c>
      <c r="K11" s="2" t="s">
        <v>43</v>
      </c>
      <c r="L11" s="2" t="s">
        <v>32</v>
      </c>
      <c r="M11" s="2" t="s">
        <v>182</v>
      </c>
      <c r="N11" s="2" t="s">
        <v>183</v>
      </c>
      <c r="O11" s="2" t="s">
        <v>149</v>
      </c>
      <c r="P11" s="2"/>
      <c r="Q11" s="2" t="s">
        <v>54</v>
      </c>
      <c r="R11" s="2" t="s">
        <v>55</v>
      </c>
      <c r="S11" s="2" t="s">
        <v>138</v>
      </c>
      <c r="T11" s="2" t="s">
        <v>139</v>
      </c>
      <c r="U11" s="2"/>
      <c r="V11" s="2"/>
      <c r="W11" s="2"/>
    </row>
    <row r="12" spans="1:23" ht="96">
      <c r="A12" s="2" t="s">
        <v>184</v>
      </c>
      <c r="B12" s="3"/>
      <c r="C12" s="2" t="s">
        <v>185</v>
      </c>
      <c r="D12" s="2" t="s">
        <v>95</v>
      </c>
      <c r="E12" s="2" t="s">
        <v>158</v>
      </c>
      <c r="F12" s="2" t="s">
        <v>63</v>
      </c>
      <c r="G12" s="2"/>
      <c r="H12" s="2" t="s">
        <v>176</v>
      </c>
      <c r="I12" s="2" t="s">
        <v>149</v>
      </c>
      <c r="J12" s="2" t="s">
        <v>61</v>
      </c>
      <c r="K12" s="2" t="s">
        <v>43</v>
      </c>
      <c r="L12" s="2" t="s">
        <v>32</v>
      </c>
      <c r="M12" s="2" t="s">
        <v>186</v>
      </c>
      <c r="N12" s="2" t="s">
        <v>187</v>
      </c>
      <c r="O12" s="2" t="s">
        <v>149</v>
      </c>
      <c r="P12" s="2"/>
      <c r="Q12" s="2" t="s">
        <v>54</v>
      </c>
      <c r="R12" s="2" t="s">
        <v>55</v>
      </c>
      <c r="S12" s="2" t="s">
        <v>138</v>
      </c>
      <c r="T12" s="2" t="s">
        <v>139</v>
      </c>
      <c r="U12" s="2"/>
      <c r="V12" s="2"/>
      <c r="W12" s="2"/>
    </row>
    <row r="13" spans="1:23" ht="96">
      <c r="A13" s="2" t="s">
        <v>188</v>
      </c>
      <c r="B13" s="3"/>
      <c r="C13" s="2" t="s">
        <v>185</v>
      </c>
      <c r="D13" s="2" t="s">
        <v>189</v>
      </c>
      <c r="E13" s="2" t="s">
        <v>190</v>
      </c>
      <c r="F13" s="2" t="s">
        <v>63</v>
      </c>
      <c r="G13" s="2"/>
      <c r="H13" s="2" t="s">
        <v>176</v>
      </c>
      <c r="I13" s="2" t="s">
        <v>149</v>
      </c>
      <c r="J13" s="2" t="s">
        <v>61</v>
      </c>
      <c r="K13" s="2" t="s">
        <v>43</v>
      </c>
      <c r="L13" s="2" t="s">
        <v>32</v>
      </c>
      <c r="M13" s="2" t="s">
        <v>191</v>
      </c>
      <c r="N13" s="2" t="s">
        <v>192</v>
      </c>
      <c r="O13" s="2" t="s">
        <v>149</v>
      </c>
      <c r="P13" s="2"/>
      <c r="Q13" s="2" t="s">
        <v>54</v>
      </c>
      <c r="R13" s="2" t="s">
        <v>47</v>
      </c>
      <c r="S13" s="2" t="s">
        <v>138</v>
      </c>
      <c r="T13" s="2" t="s">
        <v>139</v>
      </c>
      <c r="U13" s="2"/>
      <c r="V13" s="2"/>
      <c r="W13" s="2"/>
    </row>
    <row r="14" spans="1:23" ht="96">
      <c r="A14" s="2" t="s">
        <v>193</v>
      </c>
      <c r="B14" s="3"/>
      <c r="C14" s="2" t="s">
        <v>185</v>
      </c>
      <c r="D14" s="2" t="s">
        <v>105</v>
      </c>
      <c r="E14" s="2" t="s">
        <v>194</v>
      </c>
      <c r="F14" s="2" t="s">
        <v>63</v>
      </c>
      <c r="G14" s="2"/>
      <c r="H14" s="2" t="s">
        <v>176</v>
      </c>
      <c r="I14" s="2" t="s">
        <v>149</v>
      </c>
      <c r="J14" s="2" t="s">
        <v>61</v>
      </c>
      <c r="K14" s="2" t="s">
        <v>43</v>
      </c>
      <c r="L14" s="2" t="s">
        <v>32</v>
      </c>
      <c r="M14" s="2" t="s">
        <v>195</v>
      </c>
      <c r="N14" s="2" t="s">
        <v>196</v>
      </c>
      <c r="O14" s="2" t="s">
        <v>149</v>
      </c>
      <c r="P14" s="2"/>
      <c r="Q14" s="2" t="s">
        <v>54</v>
      </c>
      <c r="R14" s="2" t="s">
        <v>55</v>
      </c>
      <c r="S14" s="2" t="s">
        <v>138</v>
      </c>
      <c r="T14" s="2" t="s">
        <v>139</v>
      </c>
      <c r="U14" s="2"/>
      <c r="V14" s="2"/>
      <c r="W14" s="2"/>
    </row>
  </sheetData>
  <dataValidations count="1">
    <dataValidation type="decimal" sqref="P2:P14" xr:uid="{00000000-0002-0000-0400-000000000000}">
      <formula1>-5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8" width="24" customWidth="1"/>
    <col min="9" max="16" width="22" customWidth="1"/>
  </cols>
  <sheetData>
    <row r="1" spans="1:16" ht="30" customHeight="1">
      <c r="A1" s="6" t="s">
        <v>80</v>
      </c>
      <c r="B1" s="6" t="s">
        <v>197</v>
      </c>
      <c r="C1" s="6" t="s">
        <v>198</v>
      </c>
      <c r="D1" s="6" t="s">
        <v>199</v>
      </c>
      <c r="E1" s="6" t="s">
        <v>200</v>
      </c>
      <c r="F1" s="6" t="s">
        <v>201</v>
      </c>
      <c r="G1" s="6" t="s">
        <v>202</v>
      </c>
      <c r="H1" s="6" t="s">
        <v>203</v>
      </c>
      <c r="I1" s="6" t="s">
        <v>204</v>
      </c>
      <c r="J1" s="6" t="s">
        <v>130</v>
      </c>
      <c r="K1" s="6" t="s">
        <v>82</v>
      </c>
      <c r="L1" s="6"/>
      <c r="M1" s="6"/>
      <c r="N1" s="6"/>
      <c r="O1" s="6"/>
      <c r="P1" s="6"/>
    </row>
    <row r="2" spans="1:16">
      <c r="A2" s="2"/>
      <c r="B2" s="2"/>
      <c r="C2" s="2"/>
      <c r="D2" s="2"/>
      <c r="E2" s="2"/>
      <c r="F2" s="2"/>
      <c r="G2" s="2"/>
      <c r="H2" s="2"/>
      <c r="I2" s="2"/>
      <c r="J2" s="3"/>
      <c r="K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3"/>
      <c r="K3" s="2"/>
    </row>
    <row r="4" spans="1:16">
      <c r="A4" s="2"/>
      <c r="B4" s="2"/>
      <c r="C4" s="2"/>
      <c r="D4" s="2"/>
      <c r="E4" s="2"/>
      <c r="F4" s="2"/>
      <c r="G4" s="2"/>
      <c r="H4" s="2"/>
      <c r="I4" s="2"/>
      <c r="J4" s="3"/>
      <c r="K4" s="2"/>
    </row>
    <row r="5" spans="1:16">
      <c r="A5" s="2"/>
      <c r="B5" s="2"/>
      <c r="C5" s="2"/>
      <c r="D5" s="2"/>
      <c r="E5" s="2"/>
      <c r="F5" s="2"/>
      <c r="G5" s="2"/>
      <c r="H5" s="2"/>
      <c r="I5" s="2"/>
      <c r="J5" s="3"/>
      <c r="K5" s="2"/>
    </row>
    <row r="6" spans="1:16">
      <c r="J6" s="4"/>
    </row>
    <row r="7" spans="1:16">
      <c r="J7" s="4"/>
    </row>
    <row r="8" spans="1:16">
      <c r="J8" s="4"/>
    </row>
    <row r="9" spans="1:16">
      <c r="J9" s="4"/>
    </row>
    <row r="10" spans="1:16">
      <c r="J10" s="4"/>
    </row>
    <row r="11" spans="1:16">
      <c r="J11" s="4"/>
    </row>
    <row r="12" spans="1:16">
      <c r="J12" s="4"/>
    </row>
    <row r="13" spans="1:16">
      <c r="J13" s="4"/>
    </row>
    <row r="14" spans="1:16">
      <c r="J14" s="4"/>
    </row>
    <row r="15" spans="1:16">
      <c r="J15" s="4"/>
    </row>
    <row r="16" spans="1:16">
      <c r="J16" s="4"/>
    </row>
    <row r="17" spans="10:10">
      <c r="J17" s="4"/>
    </row>
    <row r="18" spans="10:10">
      <c r="J18" s="4"/>
    </row>
    <row r="19" spans="10:10">
      <c r="J19" s="4"/>
    </row>
    <row r="20" spans="10:10">
      <c r="J20" s="4"/>
    </row>
    <row r="21" spans="10:10">
      <c r="J21" s="4"/>
    </row>
    <row r="22" spans="10:10">
      <c r="J22" s="4"/>
    </row>
    <row r="23" spans="10:10">
      <c r="J23" s="4"/>
    </row>
    <row r="24" spans="10:10">
      <c r="J24" s="4"/>
    </row>
    <row r="25" spans="10:10">
      <c r="J25" s="4"/>
    </row>
    <row r="26" spans="10:10">
      <c r="J26" s="4"/>
    </row>
    <row r="27" spans="10:10">
      <c r="J27" s="4"/>
    </row>
    <row r="28" spans="10:10">
      <c r="J28" s="4"/>
    </row>
    <row r="29" spans="10:10">
      <c r="J29" s="4"/>
    </row>
    <row r="30" spans="10:10">
      <c r="J30" s="4"/>
    </row>
    <row r="31" spans="10:10">
      <c r="J31" s="4"/>
    </row>
    <row r="32" spans="10:10">
      <c r="J32" s="4"/>
    </row>
    <row r="33" spans="10:10">
      <c r="J33" s="4"/>
    </row>
    <row r="34" spans="10:10">
      <c r="J34" s="4"/>
    </row>
    <row r="35" spans="10:10">
      <c r="J35" s="4"/>
    </row>
    <row r="36" spans="10:10">
      <c r="J36" s="4"/>
    </row>
    <row r="37" spans="10:10">
      <c r="J37" s="4"/>
    </row>
    <row r="38" spans="10:10">
      <c r="J38" s="4"/>
    </row>
    <row r="39" spans="10:10">
      <c r="J39" s="4"/>
    </row>
    <row r="40" spans="10:10">
      <c r="J40" s="4"/>
    </row>
    <row r="41" spans="10:10">
      <c r="J41" s="4"/>
    </row>
    <row r="42" spans="10:10">
      <c r="J42" s="4"/>
    </row>
    <row r="43" spans="10:10">
      <c r="J43" s="4"/>
    </row>
    <row r="44" spans="10:10">
      <c r="J44" s="4"/>
    </row>
    <row r="45" spans="10:10">
      <c r="J45" s="4"/>
    </row>
    <row r="46" spans="10:10">
      <c r="J46" s="4"/>
    </row>
    <row r="47" spans="10:10">
      <c r="J47" s="4"/>
    </row>
    <row r="48" spans="10:10">
      <c r="J48" s="4"/>
    </row>
    <row r="49" spans="10:10">
      <c r="J49" s="4"/>
    </row>
    <row r="50" spans="10:10">
      <c r="J50" s="4"/>
    </row>
    <row r="51" spans="10:10">
      <c r="J51" s="4"/>
    </row>
    <row r="52" spans="10:10">
      <c r="J52" s="4"/>
    </row>
    <row r="53" spans="10:10">
      <c r="J53" s="4"/>
    </row>
    <row r="54" spans="10:10">
      <c r="J54" s="4"/>
    </row>
    <row r="55" spans="10:10">
      <c r="J55" s="4"/>
    </row>
    <row r="56" spans="10:10">
      <c r="J56" s="4"/>
    </row>
    <row r="57" spans="10:10">
      <c r="J57" s="4"/>
    </row>
    <row r="58" spans="10:10">
      <c r="J58" s="4"/>
    </row>
    <row r="59" spans="10:10">
      <c r="J59" s="4"/>
    </row>
    <row r="60" spans="10:10">
      <c r="J60" s="4"/>
    </row>
    <row r="61" spans="10:10">
      <c r="J61" s="4"/>
    </row>
    <row r="62" spans="10:10">
      <c r="J62" s="4"/>
    </row>
    <row r="63" spans="10:10">
      <c r="J63" s="4"/>
    </row>
    <row r="64" spans="10:10">
      <c r="J64" s="4"/>
    </row>
    <row r="65" spans="10:10">
      <c r="J65" s="4"/>
    </row>
    <row r="66" spans="10:10">
      <c r="J66" s="4"/>
    </row>
    <row r="67" spans="10:10">
      <c r="J67" s="4"/>
    </row>
    <row r="68" spans="10:10">
      <c r="J68" s="4"/>
    </row>
    <row r="69" spans="10:10">
      <c r="J69" s="4"/>
    </row>
    <row r="70" spans="10:10">
      <c r="J70" s="4"/>
    </row>
    <row r="71" spans="10:10">
      <c r="J71" s="4"/>
    </row>
    <row r="72" spans="10:10">
      <c r="J72" s="4"/>
    </row>
    <row r="73" spans="10:10">
      <c r="J73" s="4"/>
    </row>
    <row r="74" spans="10:10">
      <c r="J74" s="4"/>
    </row>
    <row r="75" spans="10:10">
      <c r="J75" s="4"/>
    </row>
    <row r="76" spans="10:10">
      <c r="J76" s="4"/>
    </row>
    <row r="77" spans="10:10">
      <c r="J77" s="4"/>
    </row>
    <row r="78" spans="10:10">
      <c r="J78" s="4"/>
    </row>
    <row r="79" spans="10:10">
      <c r="J79" s="4"/>
    </row>
    <row r="80" spans="10:10">
      <c r="J80" s="4"/>
    </row>
    <row r="81" spans="10:10">
      <c r="J81" s="4"/>
    </row>
    <row r="82" spans="10:10">
      <c r="J82" s="4"/>
    </row>
    <row r="83" spans="10:10">
      <c r="J83" s="4"/>
    </row>
    <row r="84" spans="10:10">
      <c r="J84" s="4"/>
    </row>
    <row r="85" spans="10:10">
      <c r="J85" s="4"/>
    </row>
    <row r="86" spans="10:10">
      <c r="J86" s="4"/>
    </row>
    <row r="87" spans="10:10">
      <c r="J87" s="4"/>
    </row>
    <row r="88" spans="10:10">
      <c r="J88" s="4"/>
    </row>
    <row r="89" spans="10:10">
      <c r="J89" s="4"/>
    </row>
    <row r="90" spans="10:10">
      <c r="J90" s="4"/>
    </row>
    <row r="91" spans="10:10">
      <c r="J91" s="4"/>
    </row>
    <row r="92" spans="10:10">
      <c r="J92" s="4"/>
    </row>
    <row r="93" spans="10:10">
      <c r="J93" s="4"/>
    </row>
    <row r="94" spans="10:10">
      <c r="J94" s="4"/>
    </row>
    <row r="95" spans="10:10">
      <c r="J95" s="4"/>
    </row>
    <row r="96" spans="10:10">
      <c r="J96" s="4"/>
    </row>
    <row r="97" spans="10:10">
      <c r="J97" s="4"/>
    </row>
    <row r="98" spans="10:10">
      <c r="J98" s="4"/>
    </row>
    <row r="99" spans="10:10">
      <c r="J99" s="4"/>
    </row>
    <row r="100" spans="10:10">
      <c r="J100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3" customWidth="1"/>
    <col min="2" max="2" width="19" customWidth="1"/>
    <col min="3" max="6" width="24" customWidth="1"/>
    <col min="7" max="7" width="18" customWidth="1"/>
    <col min="8" max="16" width="22" customWidth="1"/>
  </cols>
  <sheetData>
    <row r="1" spans="1:16" ht="30" customHeight="1">
      <c r="A1" s="6" t="s">
        <v>205</v>
      </c>
      <c r="B1" s="6" t="s">
        <v>206</v>
      </c>
      <c r="C1" s="6" t="s">
        <v>207</v>
      </c>
      <c r="D1" s="6" t="s">
        <v>208</v>
      </c>
      <c r="E1" s="6" t="s">
        <v>209</v>
      </c>
      <c r="F1" s="6" t="s">
        <v>210</v>
      </c>
      <c r="G1" s="6" t="s">
        <v>211</v>
      </c>
      <c r="H1" s="6" t="s">
        <v>212</v>
      </c>
      <c r="I1" s="6" t="s">
        <v>112</v>
      </c>
      <c r="J1" s="6" t="s">
        <v>80</v>
      </c>
      <c r="K1" s="6" t="s">
        <v>213</v>
      </c>
      <c r="L1" s="6" t="s">
        <v>214</v>
      </c>
      <c r="M1" s="6" t="s">
        <v>82</v>
      </c>
      <c r="N1" s="6"/>
      <c r="O1" s="6"/>
      <c r="P1" s="6"/>
    </row>
    <row r="2" spans="1:16" ht="32">
      <c r="A2" s="2" t="s">
        <v>215</v>
      </c>
      <c r="B2" s="3">
        <v>46277</v>
      </c>
      <c r="C2" s="2" t="s">
        <v>216</v>
      </c>
      <c r="D2" s="2" t="s">
        <v>63</v>
      </c>
      <c r="E2" s="2" t="s">
        <v>217</v>
      </c>
      <c r="F2" s="2"/>
      <c r="G2" s="2">
        <v>74</v>
      </c>
      <c r="H2" s="2" t="s">
        <v>218</v>
      </c>
      <c r="I2" s="2"/>
      <c r="J2" s="2"/>
      <c r="K2" s="2"/>
      <c r="L2" s="2" t="s">
        <v>85</v>
      </c>
      <c r="M2" s="2" t="s">
        <v>219</v>
      </c>
    </row>
    <row r="3" spans="1:16" ht="32">
      <c r="A3" s="2" t="s">
        <v>220</v>
      </c>
      <c r="B3" s="3">
        <v>46277</v>
      </c>
      <c r="C3" s="2" t="s">
        <v>221</v>
      </c>
      <c r="D3" s="2" t="s">
        <v>63</v>
      </c>
      <c r="E3" s="2" t="s">
        <v>217</v>
      </c>
      <c r="F3" s="2"/>
      <c r="G3" s="2">
        <v>64</v>
      </c>
      <c r="H3" s="2" t="s">
        <v>218</v>
      </c>
      <c r="I3" s="2"/>
      <c r="J3" s="2"/>
      <c r="K3" s="2"/>
      <c r="L3" s="2" t="s">
        <v>85</v>
      </c>
      <c r="M3" s="2" t="s">
        <v>219</v>
      </c>
    </row>
    <row r="4" spans="1:16" ht="32">
      <c r="A4" s="2" t="s">
        <v>222</v>
      </c>
      <c r="B4" s="3">
        <v>46277</v>
      </c>
      <c r="C4" s="2" t="s">
        <v>93</v>
      </c>
      <c r="D4" s="2" t="s">
        <v>63</v>
      </c>
      <c r="E4" s="2" t="s">
        <v>217</v>
      </c>
      <c r="F4" s="2"/>
      <c r="G4" s="2">
        <v>46</v>
      </c>
      <c r="H4" s="2" t="s">
        <v>218</v>
      </c>
      <c r="I4" s="2"/>
      <c r="J4" s="2"/>
      <c r="K4" s="2"/>
      <c r="L4" s="2" t="s">
        <v>85</v>
      </c>
      <c r="M4" s="2" t="s">
        <v>219</v>
      </c>
    </row>
    <row r="5" spans="1:16" ht="32">
      <c r="A5" s="2" t="s">
        <v>223</v>
      </c>
      <c r="B5" s="3">
        <v>46277</v>
      </c>
      <c r="C5" s="2" t="s">
        <v>224</v>
      </c>
      <c r="D5" s="2" t="s">
        <v>63</v>
      </c>
      <c r="E5" s="2" t="s">
        <v>217</v>
      </c>
      <c r="F5" s="2"/>
      <c r="G5" s="2">
        <v>80</v>
      </c>
      <c r="H5" s="2" t="s">
        <v>218</v>
      </c>
      <c r="I5" s="2"/>
      <c r="J5" s="2"/>
      <c r="K5" s="2"/>
      <c r="L5" s="2" t="s">
        <v>85</v>
      </c>
      <c r="M5" s="2" t="s">
        <v>219</v>
      </c>
    </row>
    <row r="6" spans="1:16" ht="32">
      <c r="A6" s="2" t="s">
        <v>225</v>
      </c>
      <c r="B6" s="3">
        <v>46277</v>
      </c>
      <c r="C6" s="2" t="s">
        <v>83</v>
      </c>
      <c r="D6" s="2" t="s">
        <v>63</v>
      </c>
      <c r="E6" s="2" t="s">
        <v>217</v>
      </c>
      <c r="F6" s="2"/>
      <c r="G6" s="2">
        <v>34</v>
      </c>
      <c r="H6" s="2" t="s">
        <v>218</v>
      </c>
      <c r="I6" s="2"/>
      <c r="J6" s="2"/>
      <c r="K6" s="2"/>
      <c r="L6" s="2" t="s">
        <v>85</v>
      </c>
      <c r="M6" s="2" t="s">
        <v>219</v>
      </c>
    </row>
    <row r="7" spans="1:16" ht="32">
      <c r="A7" s="2" t="s">
        <v>226</v>
      </c>
      <c r="B7" s="3">
        <v>46277</v>
      </c>
      <c r="C7" s="2" t="s">
        <v>227</v>
      </c>
      <c r="D7" s="2" t="s">
        <v>63</v>
      </c>
      <c r="E7" s="2" t="s">
        <v>217</v>
      </c>
      <c r="F7" s="2"/>
      <c r="G7" s="2">
        <v>42</v>
      </c>
      <c r="H7" s="2" t="s">
        <v>218</v>
      </c>
      <c r="I7" s="2"/>
      <c r="J7" s="2"/>
      <c r="K7" s="2"/>
      <c r="L7" s="2" t="s">
        <v>85</v>
      </c>
      <c r="M7" s="2" t="s">
        <v>219</v>
      </c>
    </row>
    <row r="8" spans="1:16" ht="32">
      <c r="A8" s="2" t="s">
        <v>228</v>
      </c>
      <c r="B8" s="3">
        <v>46277</v>
      </c>
      <c r="C8" s="2" t="s">
        <v>229</v>
      </c>
      <c r="D8" s="2" t="s">
        <v>63</v>
      </c>
      <c r="E8" s="2" t="s">
        <v>217</v>
      </c>
      <c r="F8" s="2"/>
      <c r="G8" s="2">
        <v>56</v>
      </c>
      <c r="H8" s="2" t="s">
        <v>218</v>
      </c>
      <c r="I8" s="2"/>
      <c r="J8" s="2"/>
      <c r="K8" s="2"/>
      <c r="L8" s="2" t="s">
        <v>85</v>
      </c>
      <c r="M8" s="2" t="s">
        <v>219</v>
      </c>
    </row>
    <row r="9" spans="1:16" ht="32">
      <c r="A9" s="2" t="s">
        <v>230</v>
      </c>
      <c r="B9" s="3">
        <v>46277</v>
      </c>
      <c r="C9" s="2" t="s">
        <v>141</v>
      </c>
      <c r="D9" s="2" t="s">
        <v>63</v>
      </c>
      <c r="E9" s="2" t="s">
        <v>217</v>
      </c>
      <c r="F9" s="2"/>
      <c r="G9" s="2">
        <v>56</v>
      </c>
      <c r="H9" s="2" t="s">
        <v>218</v>
      </c>
      <c r="I9" s="2"/>
      <c r="J9" s="2"/>
      <c r="K9" s="2"/>
      <c r="L9" s="2" t="s">
        <v>85</v>
      </c>
      <c r="M9" s="2" t="s">
        <v>219</v>
      </c>
    </row>
    <row r="10" spans="1:16" ht="32">
      <c r="A10" s="2" t="s">
        <v>231</v>
      </c>
      <c r="B10" s="3">
        <v>46277</v>
      </c>
      <c r="C10" s="2" t="s">
        <v>232</v>
      </c>
      <c r="D10" s="2" t="s">
        <v>63</v>
      </c>
      <c r="E10" s="2" t="s">
        <v>217</v>
      </c>
      <c r="F10" s="2"/>
      <c r="G10" s="2">
        <v>60</v>
      </c>
      <c r="H10" s="2" t="s">
        <v>218</v>
      </c>
      <c r="I10" s="2"/>
      <c r="J10" s="2"/>
      <c r="K10" s="2"/>
      <c r="L10" s="2" t="s">
        <v>85</v>
      </c>
      <c r="M10" s="2" t="s">
        <v>219</v>
      </c>
    </row>
    <row r="11" spans="1:16" ht="32">
      <c r="A11" s="2" t="s">
        <v>233</v>
      </c>
      <c r="B11" s="3">
        <v>46277</v>
      </c>
      <c r="C11" s="2" t="s">
        <v>98</v>
      </c>
      <c r="D11" s="2" t="s">
        <v>63</v>
      </c>
      <c r="E11" s="2" t="s">
        <v>217</v>
      </c>
      <c r="F11" s="2"/>
      <c r="G11" s="2">
        <v>64</v>
      </c>
      <c r="H11" s="2" t="s">
        <v>218</v>
      </c>
      <c r="I11" s="2"/>
      <c r="J11" s="2"/>
      <c r="K11" s="2"/>
      <c r="L11" s="2" t="s">
        <v>85</v>
      </c>
      <c r="M11" s="2" t="s">
        <v>219</v>
      </c>
    </row>
    <row r="12" spans="1:16" ht="32">
      <c r="A12" s="2" t="s">
        <v>234</v>
      </c>
      <c r="B12" s="3">
        <v>46277</v>
      </c>
      <c r="C12" s="2" t="s">
        <v>235</v>
      </c>
      <c r="D12" s="2" t="s">
        <v>63</v>
      </c>
      <c r="E12" s="2" t="s">
        <v>217</v>
      </c>
      <c r="F12" s="2"/>
      <c r="G12" s="2">
        <v>54</v>
      </c>
      <c r="H12" s="2" t="s">
        <v>218</v>
      </c>
      <c r="I12" s="2"/>
      <c r="J12" s="2"/>
      <c r="K12" s="2"/>
      <c r="L12" s="2" t="s">
        <v>85</v>
      </c>
      <c r="M12" s="2" t="s">
        <v>219</v>
      </c>
    </row>
    <row r="13" spans="1:16" ht="32">
      <c r="A13" s="2" t="s">
        <v>236</v>
      </c>
      <c r="B13" s="3">
        <v>46277</v>
      </c>
      <c r="C13" s="2" t="s">
        <v>237</v>
      </c>
      <c r="D13" s="2" t="s">
        <v>63</v>
      </c>
      <c r="E13" s="2" t="s">
        <v>217</v>
      </c>
      <c r="F13" s="2"/>
      <c r="G13" s="2">
        <v>76</v>
      </c>
      <c r="H13" s="2" t="s">
        <v>218</v>
      </c>
      <c r="I13" s="2"/>
      <c r="J13" s="2"/>
      <c r="K13" s="2"/>
      <c r="L13" s="2" t="s">
        <v>85</v>
      </c>
      <c r="M13" s="2" t="s">
        <v>219</v>
      </c>
    </row>
    <row r="14" spans="1:16" ht="32">
      <c r="A14" s="2" t="s">
        <v>238</v>
      </c>
      <c r="B14" s="3">
        <v>46277</v>
      </c>
      <c r="C14" s="2" t="s">
        <v>103</v>
      </c>
      <c r="D14" s="2" t="s">
        <v>63</v>
      </c>
      <c r="E14" s="2" t="s">
        <v>217</v>
      </c>
      <c r="F14" s="2"/>
      <c r="G14" s="2">
        <v>44</v>
      </c>
      <c r="H14" s="2" t="s">
        <v>218</v>
      </c>
      <c r="I14" s="2"/>
      <c r="J14" s="2"/>
      <c r="K14" s="2"/>
      <c r="L14" s="2" t="s">
        <v>85</v>
      </c>
      <c r="M14" s="2" t="s">
        <v>219</v>
      </c>
    </row>
    <row r="15" spans="1:16" ht="32">
      <c r="A15" s="2" t="s">
        <v>239</v>
      </c>
      <c r="B15" s="3">
        <v>46277</v>
      </c>
      <c r="C15" s="2" t="s">
        <v>240</v>
      </c>
      <c r="D15" s="2" t="s">
        <v>63</v>
      </c>
      <c r="E15" s="2" t="s">
        <v>217</v>
      </c>
      <c r="F15" s="2"/>
      <c r="G15" s="2">
        <v>64</v>
      </c>
      <c r="H15" s="2" t="s">
        <v>218</v>
      </c>
      <c r="I15" s="2"/>
      <c r="J15" s="2"/>
      <c r="K15" s="2"/>
      <c r="L15" s="2" t="s">
        <v>85</v>
      </c>
      <c r="M15" s="2" t="s">
        <v>219</v>
      </c>
    </row>
    <row r="16" spans="1:16" ht="32">
      <c r="A16" s="2" t="s">
        <v>241</v>
      </c>
      <c r="B16" s="3">
        <v>46277</v>
      </c>
      <c r="C16" s="2" t="s">
        <v>242</v>
      </c>
      <c r="D16" s="2" t="s">
        <v>63</v>
      </c>
      <c r="E16" s="2" t="s">
        <v>217</v>
      </c>
      <c r="F16" s="2"/>
      <c r="G16" s="2">
        <v>68</v>
      </c>
      <c r="H16" s="2" t="s">
        <v>218</v>
      </c>
      <c r="I16" s="2"/>
      <c r="J16" s="2"/>
      <c r="K16" s="2"/>
      <c r="L16" s="2" t="s">
        <v>85</v>
      </c>
      <c r="M16" s="2" t="s">
        <v>219</v>
      </c>
    </row>
    <row r="17" spans="1:13" ht="32">
      <c r="A17" s="2" t="s">
        <v>243</v>
      </c>
      <c r="B17" s="3">
        <v>46277</v>
      </c>
      <c r="C17" s="2" t="s">
        <v>244</v>
      </c>
      <c r="D17" s="2" t="s">
        <v>63</v>
      </c>
      <c r="E17" s="2" t="s">
        <v>217</v>
      </c>
      <c r="F17" s="2"/>
      <c r="G17" s="2">
        <v>74</v>
      </c>
      <c r="H17" s="2" t="s">
        <v>218</v>
      </c>
      <c r="I17" s="2"/>
      <c r="J17" s="2"/>
      <c r="K17" s="2"/>
      <c r="L17" s="2" t="s">
        <v>85</v>
      </c>
      <c r="M17" s="2" t="s">
        <v>219</v>
      </c>
    </row>
    <row r="18" spans="1:13" ht="32">
      <c r="A18" s="2" t="s">
        <v>245</v>
      </c>
      <c r="B18" s="3">
        <v>46277</v>
      </c>
      <c r="C18" s="2" t="s">
        <v>153</v>
      </c>
      <c r="D18" s="2" t="s">
        <v>63</v>
      </c>
      <c r="E18" s="2" t="s">
        <v>217</v>
      </c>
      <c r="F18" s="2"/>
      <c r="G18" s="2">
        <v>48</v>
      </c>
      <c r="H18" s="2" t="s">
        <v>218</v>
      </c>
      <c r="I18" s="2"/>
      <c r="J18" s="2"/>
      <c r="K18" s="2"/>
      <c r="L18" s="2" t="s">
        <v>85</v>
      </c>
      <c r="M18" s="2" t="s">
        <v>219</v>
      </c>
    </row>
    <row r="19" spans="1:13" ht="32">
      <c r="A19" s="2" t="s">
        <v>246</v>
      </c>
      <c r="B19" s="3">
        <v>46277</v>
      </c>
      <c r="C19" s="2" t="s">
        <v>247</v>
      </c>
      <c r="D19" s="2" t="s">
        <v>63</v>
      </c>
      <c r="E19" s="2" t="s">
        <v>217</v>
      </c>
      <c r="F19" s="2"/>
      <c r="G19" s="2">
        <v>88</v>
      </c>
      <c r="H19" s="2" t="s">
        <v>218</v>
      </c>
      <c r="I19" s="2"/>
      <c r="J19" s="2"/>
      <c r="K19" s="2"/>
      <c r="L19" s="2" t="s">
        <v>85</v>
      </c>
      <c r="M19" s="2" t="s">
        <v>219</v>
      </c>
    </row>
    <row r="20" spans="1:13" ht="32">
      <c r="A20" s="2" t="s">
        <v>248</v>
      </c>
      <c r="B20" s="3">
        <v>46277</v>
      </c>
      <c r="C20" s="2" t="s">
        <v>249</v>
      </c>
      <c r="D20" s="2" t="s">
        <v>63</v>
      </c>
      <c r="E20" s="2" t="s">
        <v>217</v>
      </c>
      <c r="F20" s="2"/>
      <c r="G20" s="2">
        <v>48</v>
      </c>
      <c r="H20" s="2" t="s">
        <v>218</v>
      </c>
      <c r="I20" s="2"/>
      <c r="J20" s="2"/>
      <c r="K20" s="2"/>
      <c r="L20" s="2" t="s">
        <v>85</v>
      </c>
      <c r="M20" s="2" t="s">
        <v>219</v>
      </c>
    </row>
    <row r="21" spans="1:13" ht="32">
      <c r="A21" s="2" t="s">
        <v>250</v>
      </c>
      <c r="B21" s="3">
        <v>46277</v>
      </c>
      <c r="C21" s="2" t="s">
        <v>251</v>
      </c>
      <c r="D21" s="2" t="s">
        <v>63</v>
      </c>
      <c r="E21" s="2" t="s">
        <v>217</v>
      </c>
      <c r="F21" s="2"/>
      <c r="G21" s="2">
        <v>54</v>
      </c>
      <c r="H21" s="2" t="s">
        <v>218</v>
      </c>
      <c r="I21" s="2"/>
      <c r="J21" s="2"/>
      <c r="K21" s="2"/>
      <c r="L21" s="2" t="s">
        <v>85</v>
      </c>
      <c r="M21" s="2" t="s">
        <v>219</v>
      </c>
    </row>
    <row r="22" spans="1:13" ht="32">
      <c r="A22" s="2" t="s">
        <v>252</v>
      </c>
      <c r="B22" s="3">
        <v>46277</v>
      </c>
      <c r="C22" s="2" t="s">
        <v>253</v>
      </c>
      <c r="D22" s="2" t="s">
        <v>63</v>
      </c>
      <c r="E22" s="2" t="s">
        <v>217</v>
      </c>
      <c r="F22" s="2"/>
      <c r="G22" s="2">
        <v>46</v>
      </c>
      <c r="H22" s="2" t="s">
        <v>218</v>
      </c>
      <c r="I22" s="2"/>
      <c r="J22" s="2"/>
      <c r="K22" s="2"/>
      <c r="L22" s="2" t="s">
        <v>85</v>
      </c>
      <c r="M22" s="2" t="s">
        <v>219</v>
      </c>
    </row>
    <row r="23" spans="1:13" ht="32">
      <c r="A23" s="2" t="s">
        <v>254</v>
      </c>
      <c r="B23" s="3">
        <v>46277</v>
      </c>
      <c r="C23" s="2" t="s">
        <v>255</v>
      </c>
      <c r="D23" s="2" t="s">
        <v>63</v>
      </c>
      <c r="E23" s="2" t="s">
        <v>217</v>
      </c>
      <c r="F23" s="2"/>
      <c r="G23" s="2">
        <v>62</v>
      </c>
      <c r="H23" s="2" t="s">
        <v>218</v>
      </c>
      <c r="I23" s="2"/>
      <c r="J23" s="2"/>
      <c r="K23" s="2"/>
      <c r="L23" s="2" t="s">
        <v>85</v>
      </c>
      <c r="M23" s="2" t="s">
        <v>219</v>
      </c>
    </row>
    <row r="24" spans="1:13" ht="32">
      <c r="A24" s="2" t="s">
        <v>256</v>
      </c>
      <c r="B24" s="3">
        <v>46277</v>
      </c>
      <c r="C24" s="2" t="s">
        <v>257</v>
      </c>
      <c r="D24" s="2" t="s">
        <v>63</v>
      </c>
      <c r="E24" s="2" t="s">
        <v>217</v>
      </c>
      <c r="F24" s="2"/>
      <c r="G24" s="2">
        <v>54</v>
      </c>
      <c r="H24" s="2" t="s">
        <v>218</v>
      </c>
      <c r="I24" s="2"/>
      <c r="J24" s="2"/>
      <c r="K24" s="2"/>
      <c r="L24" s="2" t="s">
        <v>85</v>
      </c>
      <c r="M24" s="2" t="s">
        <v>219</v>
      </c>
    </row>
    <row r="25" spans="1:13" ht="32">
      <c r="A25" s="2" t="s">
        <v>258</v>
      </c>
      <c r="B25" s="3">
        <v>46277</v>
      </c>
      <c r="C25" s="2" t="s">
        <v>259</v>
      </c>
      <c r="D25" s="2" t="s">
        <v>63</v>
      </c>
      <c r="E25" s="2" t="s">
        <v>217</v>
      </c>
      <c r="F25" s="2"/>
      <c r="G25" s="2">
        <v>78</v>
      </c>
      <c r="H25" s="2" t="s">
        <v>218</v>
      </c>
      <c r="I25" s="2"/>
      <c r="J25" s="2"/>
      <c r="K25" s="2"/>
      <c r="L25" s="2" t="s">
        <v>85</v>
      </c>
      <c r="M25" s="2" t="s">
        <v>219</v>
      </c>
    </row>
    <row r="26" spans="1:13" ht="32">
      <c r="A26" s="2" t="s">
        <v>260</v>
      </c>
      <c r="B26" s="3">
        <v>46277</v>
      </c>
      <c r="C26" s="2" t="s">
        <v>261</v>
      </c>
      <c r="D26" s="2" t="s">
        <v>63</v>
      </c>
      <c r="E26" s="2" t="s">
        <v>217</v>
      </c>
      <c r="F26" s="2"/>
      <c r="G26" s="2">
        <v>66</v>
      </c>
      <c r="H26" s="2" t="s">
        <v>218</v>
      </c>
      <c r="I26" s="2"/>
      <c r="J26" s="2"/>
      <c r="K26" s="2"/>
      <c r="L26" s="2" t="s">
        <v>85</v>
      </c>
      <c r="M26" s="2" t="s">
        <v>219</v>
      </c>
    </row>
    <row r="27" spans="1:13" ht="32">
      <c r="A27" s="2" t="s">
        <v>262</v>
      </c>
      <c r="B27" s="3">
        <v>46277</v>
      </c>
      <c r="C27" s="2" t="s">
        <v>263</v>
      </c>
      <c r="D27" s="2" t="s">
        <v>63</v>
      </c>
      <c r="E27" s="2" t="s">
        <v>217</v>
      </c>
      <c r="F27" s="2"/>
      <c r="G27" s="2">
        <v>78</v>
      </c>
      <c r="H27" s="2" t="s">
        <v>218</v>
      </c>
      <c r="I27" s="2"/>
      <c r="J27" s="2"/>
      <c r="K27" s="2"/>
      <c r="L27" s="2" t="s">
        <v>85</v>
      </c>
      <c r="M27" s="2" t="s">
        <v>219</v>
      </c>
    </row>
    <row r="28" spans="1:13" ht="32">
      <c r="A28" s="2" t="s">
        <v>264</v>
      </c>
      <c r="B28" s="3">
        <v>46277</v>
      </c>
      <c r="C28" s="2" t="s">
        <v>166</v>
      </c>
      <c r="D28" s="2" t="s">
        <v>63</v>
      </c>
      <c r="E28" s="2" t="s">
        <v>217</v>
      </c>
      <c r="F28" s="2"/>
      <c r="G28" s="2">
        <v>50</v>
      </c>
      <c r="H28" s="2" t="s">
        <v>218</v>
      </c>
      <c r="I28" s="2"/>
      <c r="J28" s="2"/>
      <c r="K28" s="2"/>
      <c r="L28" s="2" t="s">
        <v>85</v>
      </c>
      <c r="M28" s="2" t="s">
        <v>219</v>
      </c>
    </row>
    <row r="29" spans="1:13" ht="32">
      <c r="A29" s="2" t="s">
        <v>265</v>
      </c>
      <c r="B29" s="3">
        <v>46277</v>
      </c>
      <c r="C29" s="2" t="s">
        <v>108</v>
      </c>
      <c r="D29" s="2" t="s">
        <v>63</v>
      </c>
      <c r="E29" s="2" t="s">
        <v>217</v>
      </c>
      <c r="F29" s="2"/>
      <c r="G29" s="2">
        <v>62</v>
      </c>
      <c r="H29" s="2" t="s">
        <v>218</v>
      </c>
      <c r="I29" s="2"/>
      <c r="J29" s="2"/>
      <c r="K29" s="2"/>
      <c r="L29" s="2" t="s">
        <v>85</v>
      </c>
      <c r="M29" s="2" t="s">
        <v>219</v>
      </c>
    </row>
    <row r="30" spans="1:13" ht="32">
      <c r="A30" s="2" t="s">
        <v>266</v>
      </c>
      <c r="B30" s="3">
        <v>46277</v>
      </c>
      <c r="C30" s="2" t="s">
        <v>267</v>
      </c>
      <c r="D30" s="2" t="s">
        <v>63</v>
      </c>
      <c r="E30" s="2" t="s">
        <v>217</v>
      </c>
      <c r="F30" s="2"/>
      <c r="G30" s="2">
        <v>74</v>
      </c>
      <c r="H30" s="2" t="s">
        <v>218</v>
      </c>
      <c r="I30" s="2"/>
      <c r="J30" s="2"/>
      <c r="K30" s="2"/>
      <c r="L30" s="2" t="s">
        <v>85</v>
      </c>
      <c r="M30" s="2" t="s">
        <v>219</v>
      </c>
    </row>
    <row r="31" spans="1:13" ht="32">
      <c r="A31" s="2" t="s">
        <v>268</v>
      </c>
      <c r="B31" s="3">
        <v>46277</v>
      </c>
      <c r="C31" s="2" t="s">
        <v>110</v>
      </c>
      <c r="D31" s="2" t="s">
        <v>63</v>
      </c>
      <c r="E31" s="2" t="s">
        <v>217</v>
      </c>
      <c r="F31" s="2"/>
      <c r="G31" s="2">
        <v>38</v>
      </c>
      <c r="H31" s="2" t="s">
        <v>218</v>
      </c>
      <c r="I31" s="2"/>
      <c r="J31" s="2"/>
      <c r="K31" s="2"/>
      <c r="L31" s="2" t="s">
        <v>85</v>
      </c>
      <c r="M31" s="2" t="s">
        <v>219</v>
      </c>
    </row>
    <row r="32" spans="1:13" ht="32">
      <c r="A32" s="2" t="s">
        <v>269</v>
      </c>
      <c r="B32" s="3">
        <v>46277</v>
      </c>
      <c r="C32" s="2" t="s">
        <v>180</v>
      </c>
      <c r="D32" s="2" t="s">
        <v>63</v>
      </c>
      <c r="E32" s="2" t="s">
        <v>217</v>
      </c>
      <c r="F32" s="2"/>
      <c r="G32" s="2">
        <v>66</v>
      </c>
      <c r="H32" s="2" t="s">
        <v>218</v>
      </c>
      <c r="I32" s="2"/>
      <c r="J32" s="2"/>
      <c r="K32" s="2"/>
      <c r="L32" s="2" t="s">
        <v>85</v>
      </c>
      <c r="M32" s="2" t="s">
        <v>219</v>
      </c>
    </row>
    <row r="33" spans="1:13" ht="32">
      <c r="A33" s="2" t="s">
        <v>270</v>
      </c>
      <c r="B33" s="3">
        <v>46277</v>
      </c>
      <c r="C33" s="2" t="s">
        <v>171</v>
      </c>
      <c r="D33" s="2" t="s">
        <v>63</v>
      </c>
      <c r="E33" s="2" t="s">
        <v>217</v>
      </c>
      <c r="F33" s="2"/>
      <c r="G33" s="2">
        <v>36</v>
      </c>
      <c r="H33" s="2" t="s">
        <v>218</v>
      </c>
      <c r="I33" s="2"/>
      <c r="J33" s="2"/>
      <c r="K33" s="2"/>
      <c r="L33" s="2" t="s">
        <v>85</v>
      </c>
      <c r="M33" s="2" t="s">
        <v>219</v>
      </c>
    </row>
    <row r="34" spans="1:13" ht="32">
      <c r="A34" s="2" t="s">
        <v>271</v>
      </c>
      <c r="B34" s="3">
        <v>46277</v>
      </c>
      <c r="C34" s="2" t="s">
        <v>272</v>
      </c>
      <c r="D34" s="2" t="s">
        <v>63</v>
      </c>
      <c r="E34" s="2" t="s">
        <v>217</v>
      </c>
      <c r="F34" s="2"/>
      <c r="G34" s="2">
        <v>48</v>
      </c>
      <c r="H34" s="2" t="s">
        <v>218</v>
      </c>
      <c r="I34" s="2"/>
      <c r="J34" s="2"/>
      <c r="K34" s="2"/>
      <c r="L34" s="2" t="s">
        <v>85</v>
      </c>
      <c r="M34" s="2" t="s">
        <v>219</v>
      </c>
    </row>
    <row r="35" spans="1:13" ht="32">
      <c r="A35" s="2" t="s">
        <v>273</v>
      </c>
      <c r="B35" s="3">
        <v>46277</v>
      </c>
      <c r="C35" s="2" t="s">
        <v>274</v>
      </c>
      <c r="D35" s="2" t="s">
        <v>63</v>
      </c>
      <c r="E35" s="2" t="s">
        <v>217</v>
      </c>
      <c r="F35" s="2"/>
      <c r="G35" s="2">
        <v>84</v>
      </c>
      <c r="H35" s="2" t="s">
        <v>218</v>
      </c>
      <c r="I35" s="2"/>
      <c r="J35" s="2"/>
      <c r="K35" s="2"/>
      <c r="L35" s="2" t="s">
        <v>85</v>
      </c>
      <c r="M35" s="2" t="s">
        <v>219</v>
      </c>
    </row>
    <row r="36" spans="1:13" ht="32">
      <c r="A36" s="2" t="s">
        <v>275</v>
      </c>
      <c r="B36" s="3">
        <v>46277</v>
      </c>
      <c r="C36" s="2" t="s">
        <v>101</v>
      </c>
      <c r="D36" s="2" t="s">
        <v>63</v>
      </c>
      <c r="E36" s="2" t="s">
        <v>217</v>
      </c>
      <c r="F36" s="2"/>
      <c r="G36" s="2">
        <v>54</v>
      </c>
      <c r="H36" s="2" t="s">
        <v>218</v>
      </c>
      <c r="I36" s="2"/>
      <c r="J36" s="2"/>
      <c r="K36" s="2"/>
      <c r="L36" s="2" t="s">
        <v>85</v>
      </c>
      <c r="M36" s="2" t="s">
        <v>219</v>
      </c>
    </row>
    <row r="37" spans="1:13" ht="32">
      <c r="A37" s="2" t="s">
        <v>276</v>
      </c>
      <c r="B37" s="3">
        <v>46277</v>
      </c>
      <c r="C37" s="2" t="s">
        <v>277</v>
      </c>
      <c r="D37" s="2" t="s">
        <v>63</v>
      </c>
      <c r="E37" s="2" t="s">
        <v>217</v>
      </c>
      <c r="F37" s="2"/>
      <c r="G37" s="2">
        <v>58</v>
      </c>
      <c r="H37" s="2" t="s">
        <v>218</v>
      </c>
      <c r="I37" s="2"/>
      <c r="J37" s="2"/>
      <c r="K37" s="2"/>
      <c r="L37" s="2" t="s">
        <v>85</v>
      </c>
      <c r="M37" s="2" t="s">
        <v>219</v>
      </c>
    </row>
    <row r="38" spans="1:13" ht="32">
      <c r="A38" s="2" t="s">
        <v>278</v>
      </c>
      <c r="B38" s="3">
        <v>46277</v>
      </c>
      <c r="C38" s="2" t="s">
        <v>105</v>
      </c>
      <c r="D38" s="2" t="s">
        <v>63</v>
      </c>
      <c r="E38" s="2" t="s">
        <v>217</v>
      </c>
      <c r="F38" s="2"/>
      <c r="G38" s="2">
        <v>42</v>
      </c>
      <c r="H38" s="2" t="s">
        <v>218</v>
      </c>
      <c r="I38" s="2"/>
      <c r="J38" s="2"/>
      <c r="K38" s="2"/>
      <c r="L38" s="2" t="s">
        <v>85</v>
      </c>
      <c r="M38" s="2" t="s">
        <v>219</v>
      </c>
    </row>
    <row r="39" spans="1:13" ht="32">
      <c r="A39" s="2" t="s">
        <v>279</v>
      </c>
      <c r="B39" s="3">
        <v>46277</v>
      </c>
      <c r="C39" s="2" t="s">
        <v>147</v>
      </c>
      <c r="D39" s="2" t="s">
        <v>63</v>
      </c>
      <c r="E39" s="2" t="s">
        <v>217</v>
      </c>
      <c r="F39" s="2"/>
      <c r="G39" s="2">
        <v>44</v>
      </c>
      <c r="H39" s="2" t="s">
        <v>218</v>
      </c>
      <c r="I39" s="2"/>
      <c r="J39" s="2"/>
      <c r="K39" s="2"/>
      <c r="L39" s="2" t="s">
        <v>85</v>
      </c>
      <c r="M39" s="2" t="s">
        <v>219</v>
      </c>
    </row>
    <row r="40" spans="1:13" ht="32">
      <c r="A40" s="2" t="s">
        <v>280</v>
      </c>
      <c r="B40" s="3">
        <v>46277</v>
      </c>
      <c r="C40" s="2" t="s">
        <v>281</v>
      </c>
      <c r="D40" s="2" t="s">
        <v>63</v>
      </c>
      <c r="E40" s="2" t="s">
        <v>217</v>
      </c>
      <c r="F40" s="2"/>
      <c r="G40" s="2">
        <v>64</v>
      </c>
      <c r="H40" s="2" t="s">
        <v>218</v>
      </c>
      <c r="I40" s="2"/>
      <c r="J40" s="2"/>
      <c r="K40" s="2"/>
      <c r="L40" s="2" t="s">
        <v>85</v>
      </c>
      <c r="M40" s="2" t="s">
        <v>219</v>
      </c>
    </row>
    <row r="41" spans="1:13" ht="32">
      <c r="A41" s="2" t="s">
        <v>282</v>
      </c>
      <c r="B41" s="3">
        <v>46277</v>
      </c>
      <c r="C41" s="2" t="s">
        <v>283</v>
      </c>
      <c r="D41" s="2" t="s">
        <v>63</v>
      </c>
      <c r="E41" s="2" t="s">
        <v>217</v>
      </c>
      <c r="F41" s="2"/>
      <c r="G41" s="2">
        <v>72</v>
      </c>
      <c r="H41" s="2" t="s">
        <v>218</v>
      </c>
      <c r="I41" s="2"/>
      <c r="J41" s="2"/>
      <c r="K41" s="2"/>
      <c r="L41" s="2" t="s">
        <v>85</v>
      </c>
      <c r="M41" s="2" t="s">
        <v>219</v>
      </c>
    </row>
    <row r="42" spans="1:13" ht="32">
      <c r="A42" s="2" t="s">
        <v>284</v>
      </c>
      <c r="B42" s="3">
        <v>46277</v>
      </c>
      <c r="C42" s="2" t="s">
        <v>285</v>
      </c>
      <c r="D42" s="2" t="s">
        <v>63</v>
      </c>
      <c r="E42" s="2" t="s">
        <v>217</v>
      </c>
      <c r="F42" s="2"/>
      <c r="G42" s="2">
        <v>54</v>
      </c>
      <c r="H42" s="2" t="s">
        <v>218</v>
      </c>
      <c r="I42" s="2"/>
      <c r="J42" s="2"/>
      <c r="K42" s="2"/>
      <c r="L42" s="2" t="s">
        <v>85</v>
      </c>
      <c r="M42" s="2" t="s">
        <v>219</v>
      </c>
    </row>
    <row r="43" spans="1:13" ht="32">
      <c r="A43" s="2" t="s">
        <v>286</v>
      </c>
      <c r="B43" s="3">
        <v>46277</v>
      </c>
      <c r="C43" s="2" t="s">
        <v>287</v>
      </c>
      <c r="D43" s="2" t="s">
        <v>63</v>
      </c>
      <c r="E43" s="2" t="s">
        <v>217</v>
      </c>
      <c r="F43" s="2"/>
      <c r="G43" s="2">
        <v>62</v>
      </c>
      <c r="H43" s="2" t="s">
        <v>218</v>
      </c>
      <c r="I43" s="2"/>
      <c r="J43" s="2"/>
      <c r="K43" s="2"/>
      <c r="L43" s="2" t="s">
        <v>85</v>
      </c>
      <c r="M43" s="2" t="s">
        <v>219</v>
      </c>
    </row>
    <row r="44" spans="1:13" ht="32">
      <c r="A44" s="2" t="s">
        <v>288</v>
      </c>
      <c r="B44" s="3">
        <v>46277</v>
      </c>
      <c r="C44" s="2" t="s">
        <v>95</v>
      </c>
      <c r="D44" s="2" t="s">
        <v>63</v>
      </c>
      <c r="E44" s="2" t="s">
        <v>217</v>
      </c>
      <c r="F44" s="2"/>
      <c r="G44" s="2">
        <v>68</v>
      </c>
      <c r="H44" s="2" t="s">
        <v>218</v>
      </c>
      <c r="I44" s="2"/>
      <c r="J44" s="2"/>
      <c r="K44" s="2"/>
      <c r="L44" s="2" t="s">
        <v>85</v>
      </c>
      <c r="M44" s="2" t="s">
        <v>219</v>
      </c>
    </row>
    <row r="45" spans="1:13" ht="32">
      <c r="A45" s="2" t="s">
        <v>289</v>
      </c>
      <c r="B45" s="3">
        <v>46277</v>
      </c>
      <c r="C45" s="2" t="s">
        <v>290</v>
      </c>
      <c r="D45" s="2" t="s">
        <v>63</v>
      </c>
      <c r="E45" s="2" t="s">
        <v>217</v>
      </c>
      <c r="F45" s="2"/>
      <c r="G45" s="2">
        <v>64</v>
      </c>
      <c r="H45" s="2" t="s">
        <v>218</v>
      </c>
      <c r="I45" s="2"/>
      <c r="J45" s="2"/>
      <c r="K45" s="2"/>
      <c r="L45" s="2" t="s">
        <v>85</v>
      </c>
      <c r="M45" s="2" t="s">
        <v>219</v>
      </c>
    </row>
    <row r="46" spans="1:13" ht="32">
      <c r="A46" s="2" t="s">
        <v>291</v>
      </c>
      <c r="B46" s="3">
        <v>46277</v>
      </c>
      <c r="C46" s="2" t="s">
        <v>292</v>
      </c>
      <c r="D46" s="2" t="s">
        <v>63</v>
      </c>
      <c r="E46" s="2" t="s">
        <v>217</v>
      </c>
      <c r="F46" s="2"/>
      <c r="G46" s="2">
        <v>66</v>
      </c>
      <c r="H46" s="2" t="s">
        <v>218</v>
      </c>
      <c r="I46" s="2"/>
      <c r="J46" s="2"/>
      <c r="K46" s="2"/>
      <c r="L46" s="2" t="s">
        <v>85</v>
      </c>
      <c r="M46" s="2" t="s">
        <v>219</v>
      </c>
    </row>
    <row r="47" spans="1:13" ht="32">
      <c r="A47" s="2" t="s">
        <v>293</v>
      </c>
      <c r="B47" s="3">
        <v>46277</v>
      </c>
      <c r="C47" s="2" t="s">
        <v>90</v>
      </c>
      <c r="D47" s="2" t="s">
        <v>63</v>
      </c>
      <c r="E47" s="2" t="s">
        <v>217</v>
      </c>
      <c r="F47" s="2"/>
      <c r="G47" s="2">
        <v>54</v>
      </c>
      <c r="H47" s="2" t="s">
        <v>218</v>
      </c>
      <c r="I47" s="2"/>
      <c r="J47" s="2"/>
      <c r="K47" s="2"/>
      <c r="L47" s="2" t="s">
        <v>85</v>
      </c>
      <c r="M47" s="2" t="s">
        <v>219</v>
      </c>
    </row>
    <row r="48" spans="1:13" ht="32">
      <c r="A48" s="2" t="s">
        <v>294</v>
      </c>
      <c r="B48" s="3">
        <v>46277</v>
      </c>
      <c r="C48" s="2" t="s">
        <v>295</v>
      </c>
      <c r="D48" s="2" t="s">
        <v>63</v>
      </c>
      <c r="E48" s="2" t="s">
        <v>217</v>
      </c>
      <c r="F48" s="2"/>
      <c r="G48" s="2">
        <v>46</v>
      </c>
      <c r="H48" s="2" t="s">
        <v>218</v>
      </c>
      <c r="I48" s="2"/>
      <c r="J48" s="2"/>
      <c r="K48" s="2"/>
      <c r="L48" s="2" t="s">
        <v>85</v>
      </c>
      <c r="M48" s="2" t="s">
        <v>219</v>
      </c>
    </row>
    <row r="49" spans="1:13" ht="32">
      <c r="A49" s="2" t="s">
        <v>296</v>
      </c>
      <c r="B49" s="3">
        <v>46277</v>
      </c>
      <c r="C49" s="2" t="s">
        <v>297</v>
      </c>
      <c r="D49" s="2" t="s">
        <v>63</v>
      </c>
      <c r="E49" s="2" t="s">
        <v>217</v>
      </c>
      <c r="F49" s="2"/>
      <c r="G49" s="2">
        <v>84</v>
      </c>
      <c r="H49" s="2" t="s">
        <v>218</v>
      </c>
      <c r="I49" s="2"/>
      <c r="J49" s="2"/>
      <c r="K49" s="2"/>
      <c r="L49" s="2" t="s">
        <v>85</v>
      </c>
      <c r="M49" s="2" t="s">
        <v>219</v>
      </c>
    </row>
    <row r="50" spans="1:13" ht="32">
      <c r="A50" s="2" t="s">
        <v>298</v>
      </c>
      <c r="B50" s="3">
        <v>46277</v>
      </c>
      <c r="C50" s="2" t="s">
        <v>299</v>
      </c>
      <c r="D50" s="2" t="s">
        <v>63</v>
      </c>
      <c r="E50" s="2" t="s">
        <v>217</v>
      </c>
      <c r="F50" s="2"/>
      <c r="G50" s="2">
        <v>62</v>
      </c>
      <c r="H50" s="2" t="s">
        <v>218</v>
      </c>
      <c r="I50" s="2"/>
      <c r="J50" s="2"/>
      <c r="K50" s="2"/>
      <c r="L50" s="2" t="s">
        <v>85</v>
      </c>
      <c r="M50" s="2" t="s">
        <v>219</v>
      </c>
    </row>
    <row r="51" spans="1:13" ht="32">
      <c r="A51" s="2" t="s">
        <v>300</v>
      </c>
      <c r="B51" s="3">
        <v>46277</v>
      </c>
      <c r="C51" s="2" t="s">
        <v>189</v>
      </c>
      <c r="D51" s="2" t="s">
        <v>63</v>
      </c>
      <c r="E51" s="2" t="s">
        <v>217</v>
      </c>
      <c r="F51" s="2"/>
      <c r="G51" s="2">
        <v>88</v>
      </c>
      <c r="H51" s="2" t="s">
        <v>218</v>
      </c>
      <c r="I51" s="2"/>
      <c r="J51" s="2"/>
      <c r="K51" s="2"/>
      <c r="L51" s="2" t="s">
        <v>85</v>
      </c>
      <c r="M51" s="2" t="s">
        <v>219</v>
      </c>
    </row>
  </sheetData>
  <dataValidations count="1">
    <dataValidation type="list" sqref="L2:L500" xr:uid="{00000000-0002-0000-06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37" customWidth="1"/>
    <col min="2" max="2" width="29" customWidth="1"/>
    <col min="3" max="6" width="24" customWidth="1"/>
    <col min="7" max="7" width="18" customWidth="1"/>
    <col min="8" max="16" width="22" customWidth="1"/>
  </cols>
  <sheetData>
    <row r="1" spans="1:16" ht="30" customHeight="1">
      <c r="A1" s="6" t="s">
        <v>401</v>
      </c>
      <c r="B1" s="6" t="s">
        <v>402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6">
      <c r="A2" s="2" t="s">
        <v>403</v>
      </c>
      <c r="B2" s="2" t="s">
        <v>404</v>
      </c>
    </row>
    <row r="3" spans="1:16" ht="16">
      <c r="A3" s="2" t="s">
        <v>143</v>
      </c>
      <c r="B3" s="10">
        <v>0.35</v>
      </c>
    </row>
    <row r="4" spans="1:16" ht="16">
      <c r="A4" s="2" t="s">
        <v>405</v>
      </c>
      <c r="B4" s="10">
        <v>0.15</v>
      </c>
    </row>
    <row r="5" spans="1:16" ht="16">
      <c r="A5" s="2" t="s">
        <v>406</v>
      </c>
      <c r="B5" s="10">
        <v>0.25</v>
      </c>
    </row>
    <row r="6" spans="1:16" ht="16">
      <c r="A6" s="2" t="s">
        <v>407</v>
      </c>
      <c r="B6" s="10">
        <v>0.25</v>
      </c>
    </row>
    <row r="7" spans="1:16" ht="16">
      <c r="A7" s="2" t="s">
        <v>408</v>
      </c>
      <c r="B7" s="2" t="s">
        <v>409</v>
      </c>
    </row>
    <row r="8" spans="1:16" ht="32">
      <c r="A8" s="2" t="s">
        <v>410</v>
      </c>
      <c r="B8" s="2" t="s">
        <v>411</v>
      </c>
    </row>
    <row r="9" spans="1:16" ht="48">
      <c r="A9" s="2" t="s">
        <v>412</v>
      </c>
      <c r="B9" s="2" t="s">
        <v>413</v>
      </c>
    </row>
    <row r="10" spans="1:16" ht="64">
      <c r="A10" s="2" t="s">
        <v>414</v>
      </c>
      <c r="B10" s="2" t="s">
        <v>415</v>
      </c>
    </row>
    <row r="11" spans="1:16" ht="64">
      <c r="A11" s="2" t="s">
        <v>405</v>
      </c>
      <c r="B11" s="2" t="s">
        <v>416</v>
      </c>
    </row>
    <row r="12" spans="1:16" ht="80">
      <c r="A12" s="2" t="s">
        <v>417</v>
      </c>
      <c r="B12" s="2" t="s">
        <v>418</v>
      </c>
    </row>
    <row r="13" spans="1:16" ht="96">
      <c r="A13" s="2" t="s">
        <v>419</v>
      </c>
      <c r="B13" s="2" t="s">
        <v>420</v>
      </c>
    </row>
    <row r="14" spans="1:16" ht="48">
      <c r="A14" s="2" t="s">
        <v>421</v>
      </c>
      <c r="B14" s="2" t="s">
        <v>422</v>
      </c>
    </row>
    <row r="15" spans="1:16" ht="32">
      <c r="A15" s="2" t="s">
        <v>423</v>
      </c>
      <c r="B15" s="2" t="s">
        <v>424</v>
      </c>
    </row>
    <row r="16" spans="1:16" ht="32">
      <c r="A16" s="2" t="s">
        <v>425</v>
      </c>
      <c r="B16" s="2" t="s">
        <v>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31" customWidth="1"/>
    <col min="2" max="2" width="72" customWidth="1"/>
    <col min="3" max="6" width="24" customWidth="1"/>
    <col min="7" max="7" width="18" customWidth="1"/>
    <col min="8" max="16" width="22" customWidth="1"/>
  </cols>
  <sheetData>
    <row r="1" spans="1:16" ht="30" customHeight="1">
      <c r="A1" s="6" t="s">
        <v>427</v>
      </c>
      <c r="B1" s="6" t="s">
        <v>428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24" customHeight="1">
      <c r="A2" t="s">
        <v>429</v>
      </c>
      <c r="B2" t="s">
        <v>430</v>
      </c>
    </row>
    <row r="3" spans="1:16" ht="24" customHeight="1">
      <c r="A3" t="s">
        <v>201</v>
      </c>
      <c r="B3" t="s">
        <v>431</v>
      </c>
    </row>
    <row r="4" spans="1:16" ht="24" customHeight="1">
      <c r="A4" t="s">
        <v>432</v>
      </c>
      <c r="B4" t="s">
        <v>433</v>
      </c>
    </row>
    <row r="5" spans="1:16" ht="24" customHeight="1">
      <c r="A5" t="s">
        <v>434</v>
      </c>
      <c r="B5" t="s">
        <v>435</v>
      </c>
    </row>
    <row r="6" spans="1:16" ht="24" customHeight="1">
      <c r="A6" t="s">
        <v>436</v>
      </c>
      <c r="B6" t="s">
        <v>437</v>
      </c>
    </row>
    <row r="7" spans="1:16" ht="24" customHeight="1"/>
    <row r="8" spans="1:16" ht="24" customHeight="1">
      <c r="A8" s="5" t="s">
        <v>438</v>
      </c>
      <c r="B8" s="5" t="s">
        <v>439</v>
      </c>
      <c r="C8" s="5" t="s">
        <v>120</v>
      </c>
      <c r="D8" s="5" t="s">
        <v>440</v>
      </c>
      <c r="E8" s="5" t="s">
        <v>24</v>
      </c>
    </row>
    <row r="9" spans="1:16" ht="24" customHeight="1">
      <c r="A9" t="s">
        <v>441</v>
      </c>
      <c r="B9" t="s">
        <v>442</v>
      </c>
      <c r="C9" t="s">
        <v>443</v>
      </c>
      <c r="D9" t="s">
        <v>444</v>
      </c>
      <c r="E9" t="s">
        <v>445</v>
      </c>
    </row>
    <row r="10" spans="1:16" ht="24" customHeight="1">
      <c r="A10" t="s">
        <v>446</v>
      </c>
      <c r="B10" t="s">
        <v>447</v>
      </c>
      <c r="C10" t="s">
        <v>443</v>
      </c>
      <c r="D10" t="s">
        <v>448</v>
      </c>
      <c r="E10" t="s">
        <v>445</v>
      </c>
    </row>
    <row r="11" spans="1:16" ht="24" customHeight="1">
      <c r="A11" t="s">
        <v>449</v>
      </c>
      <c r="B11" t="s">
        <v>450</v>
      </c>
      <c r="C11" t="s">
        <v>443</v>
      </c>
      <c r="D11" t="s">
        <v>451</v>
      </c>
      <c r="E11" t="s">
        <v>445</v>
      </c>
    </row>
    <row r="12" spans="1:16" ht="24" customHeight="1">
      <c r="A12" t="s">
        <v>452</v>
      </c>
      <c r="B12" t="s">
        <v>453</v>
      </c>
      <c r="C12" t="s">
        <v>443</v>
      </c>
      <c r="D12" t="s">
        <v>454</v>
      </c>
      <c r="E12" t="s">
        <v>445</v>
      </c>
    </row>
    <row r="13" spans="1:16" ht="24" customHeight="1">
      <c r="A13" t="s">
        <v>95</v>
      </c>
      <c r="B13" t="s">
        <v>455</v>
      </c>
      <c r="C13" t="s">
        <v>443</v>
      </c>
      <c r="D13" t="s">
        <v>456</v>
      </c>
      <c r="E13" t="s">
        <v>445</v>
      </c>
    </row>
    <row r="14" spans="1:16" ht="24" customHeight="1">
      <c r="A14" t="s">
        <v>457</v>
      </c>
      <c r="B14" t="s">
        <v>458</v>
      </c>
      <c r="C14" t="s">
        <v>443</v>
      </c>
      <c r="D14" t="s">
        <v>459</v>
      </c>
      <c r="E14" t="s">
        <v>445</v>
      </c>
    </row>
    <row r="15" spans="1:16" ht="24" customHeight="1">
      <c r="A15" t="s">
        <v>460</v>
      </c>
      <c r="B15" t="s">
        <v>461</v>
      </c>
      <c r="C15" t="s">
        <v>443</v>
      </c>
      <c r="D15" t="s">
        <v>462</v>
      </c>
      <c r="E15" t="s">
        <v>445</v>
      </c>
    </row>
    <row r="16" spans="1:16" ht="24" customHeight="1">
      <c r="A16" t="s">
        <v>463</v>
      </c>
      <c r="B16" t="s">
        <v>464</v>
      </c>
      <c r="C16" t="s">
        <v>465</v>
      </c>
      <c r="D16" t="s">
        <v>466</v>
      </c>
      <c r="E16" t="s">
        <v>445</v>
      </c>
    </row>
    <row r="17" spans="1:2" ht="24" customHeight="1"/>
    <row r="18" spans="1:2" ht="24" customHeight="1">
      <c r="A18" t="s">
        <v>467</v>
      </c>
      <c r="B18" t="s">
        <v>468</v>
      </c>
    </row>
    <row r="19" spans="1:2" ht="24" customHeight="1">
      <c r="A19" t="s">
        <v>469</v>
      </c>
      <c r="B19" t="s">
        <v>470</v>
      </c>
    </row>
    <row r="20" spans="1:2" ht="24" customHeight="1">
      <c r="A20" t="s">
        <v>471</v>
      </c>
      <c r="B20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State Scores</vt:lpstr>
      <vt:lpstr>Validation Lists</vt:lpstr>
      <vt:lpstr>County Local</vt:lpstr>
      <vt:lpstr>Policy Events</vt:lpstr>
      <vt:lpstr>Sources</vt:lpstr>
      <vt:lpstr>Change Log</vt:lpstr>
      <vt:lpstr>Methodology</vt:lpstr>
      <vt:lpstr>HeatMap Evidence Oct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Chittooran</cp:lastModifiedBy>
  <dcterms:modified xsi:type="dcterms:W3CDTF">2026-10-28T03:20:28Z</dcterms:modified>
</cp:coreProperties>
</file>